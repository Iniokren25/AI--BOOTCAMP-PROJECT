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ser\Desktop\AI PROJECT READY\"/>
    </mc:Choice>
  </mc:AlternateContent>
  <xr:revisionPtr revIDLastSave="0" documentId="13_ncr:1_{1DE756E5-5A2A-4FF7-B618-0412B520D96F}" xr6:coauthVersionLast="47" xr6:coauthVersionMax="47" xr10:uidLastSave="{00000000-0000-0000-0000-000000000000}"/>
  <bookViews>
    <workbookView xWindow="-120" yWindow="-120" windowWidth="20730" windowHeight="11280" tabRatio="810" activeTab="4" xr2:uid="{00000000-000D-0000-FFFF-FFFF00000000}"/>
  </bookViews>
  <sheets>
    <sheet name="Cover" sheetId="3" r:id="rId1"/>
    <sheet name="Raw Data" sheetId="1" r:id="rId2"/>
    <sheet name="PIVOT TABLES" sheetId="16" r:id="rId3"/>
    <sheet name="PIVOT TABLES 1" sheetId="18" r:id="rId4"/>
    <sheet name="DASHBOARD" sheetId="27" r:id="rId5"/>
  </sheets>
  <definedNames>
    <definedName name="Slicer_AMOUNT_1">#N/A</definedName>
    <definedName name="Slicer_CATEGORY_1">#N/A</definedName>
    <definedName name="Slicer_Date_1">#N/A</definedName>
    <definedName name="Slicer_REGION_11">#N/A</definedName>
    <definedName name="Slicer_SALES_REP_1">#N/A</definedName>
    <definedName name="Slicer_SALES_REP_1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7" i="1" l="1"/>
  <c r="J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4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alcChain>
</file>

<file path=xl/sharedStrings.xml><?xml version="1.0" encoding="utf-8"?>
<sst xmlns="http://schemas.openxmlformats.org/spreadsheetml/2006/main" count="789" uniqueCount="422">
  <si>
    <t>Region</t>
  </si>
  <si>
    <t>Product</t>
  </si>
  <si>
    <t>Category</t>
  </si>
  <si>
    <t>Sales Rep</t>
  </si>
  <si>
    <t>Customer</t>
  </si>
  <si>
    <t>South</t>
  </si>
  <si>
    <t xml:space="preserve">  Peter Obi   </t>
  </si>
  <si>
    <t>bright solutions</t>
  </si>
  <si>
    <t xml:space="preserve"> EAST</t>
  </si>
  <si>
    <t>tv  43q</t>
  </si>
  <si>
    <t>ELECTRONICS</t>
  </si>
  <si>
    <t xml:space="preserve">Ifeanyi Okafor  </t>
  </si>
  <si>
    <t>Musa Enterprises</t>
  </si>
  <si>
    <t xml:space="preserve">North	</t>
  </si>
  <si>
    <t>PHONE X12</t>
  </si>
  <si>
    <t>Mobile</t>
  </si>
  <si>
    <t>fola balogun</t>
  </si>
  <si>
    <t>IFEANYI OKAFOR</t>
  </si>
  <si>
    <t>WEST</t>
  </si>
  <si>
    <t xml:space="preserve"> Mobile</t>
  </si>
  <si>
    <t>mobile</t>
  </si>
  <si>
    <t>IFEANYI  OKAFOR</t>
  </si>
  <si>
    <t>Musa  Enterprises</t>
  </si>
  <si>
    <t xml:space="preserve"> WEST </t>
  </si>
  <si>
    <t xml:space="preserve"> Electronics</t>
  </si>
  <si>
    <t>AISHA  BELLO</t>
  </si>
  <si>
    <t>Chika  Mart</t>
  </si>
  <si>
    <t xml:space="preserve">west  </t>
  </si>
  <si>
    <t>peripherals</t>
  </si>
  <si>
    <t>peter obi</t>
  </si>
  <si>
    <t xml:space="preserve"> East </t>
  </si>
  <si>
    <t xml:space="preserve"> CAMERA C100</t>
  </si>
  <si>
    <t xml:space="preserve"> fola balogun </t>
  </si>
  <si>
    <t>West</t>
  </si>
  <si>
    <t>Tablet  T8</t>
  </si>
  <si>
    <t xml:space="preserve">  Peter Obi </t>
  </si>
  <si>
    <t>Alpha Retailers</t>
  </si>
  <si>
    <t>south</t>
  </si>
  <si>
    <t xml:space="preserve">  Mobile</t>
  </si>
  <si>
    <t>fola  balogun</t>
  </si>
  <si>
    <t>MUSA ENTERPRISES</t>
  </si>
  <si>
    <t>North</t>
  </si>
  <si>
    <t>Aisha Bello</t>
  </si>
  <si>
    <t>Omega Wholesale</t>
  </si>
  <si>
    <t xml:space="preserve">  AISHA BELLO</t>
  </si>
  <si>
    <t>kelvin tech</t>
  </si>
  <si>
    <t xml:space="preserve"> tv 43q</t>
  </si>
  <si>
    <t>Chinedu  Nwosu</t>
  </si>
  <si>
    <t>EMEKA  TRADERS</t>
  </si>
  <si>
    <t xml:space="preserve">ifeanyi okafor  </t>
  </si>
  <si>
    <t>BRIGHT SOLUTIONS</t>
  </si>
  <si>
    <t xml:space="preserve">East  </t>
  </si>
  <si>
    <t>monitor m24</t>
  </si>
  <si>
    <t xml:space="preserve">chinedu nwosu   </t>
  </si>
  <si>
    <t>tola  ventures</t>
  </si>
  <si>
    <t>East</t>
  </si>
  <si>
    <t xml:space="preserve"> Fola Balogun </t>
  </si>
  <si>
    <t xml:space="preserve">  West</t>
  </si>
  <si>
    <t>Tablet T8</t>
  </si>
  <si>
    <t xml:space="preserve">  mary john </t>
  </si>
  <si>
    <t xml:space="preserve"> Camera C100</t>
  </si>
  <si>
    <t>Photography</t>
  </si>
  <si>
    <t>Grace  Amos</t>
  </si>
  <si>
    <t xml:space="preserve"> North</t>
  </si>
  <si>
    <t>Camera  C100</t>
  </si>
  <si>
    <t>Chinedu Nwosu</t>
  </si>
  <si>
    <t xml:space="preserve"> EAST </t>
  </si>
  <si>
    <t>Laptop A15</t>
  </si>
  <si>
    <t>Computers</t>
  </si>
  <si>
    <t xml:space="preserve">GRACE AMOS </t>
  </si>
  <si>
    <t>PETER  OBI</t>
  </si>
  <si>
    <t>EAST</t>
  </si>
  <si>
    <t xml:space="preserve">Tablet T8 </t>
  </si>
  <si>
    <t>Maryam Ltd</t>
  </si>
  <si>
    <t>north</t>
  </si>
  <si>
    <t xml:space="preserve"> ifeanyi okafor </t>
  </si>
  <si>
    <t>omega  wholesale</t>
  </si>
  <si>
    <t xml:space="preserve">  West </t>
  </si>
  <si>
    <t xml:space="preserve"> Grace Amos </t>
  </si>
  <si>
    <t xml:space="preserve"> East</t>
  </si>
  <si>
    <t>photography</t>
  </si>
  <si>
    <t xml:space="preserve">chinedu nwosu </t>
  </si>
  <si>
    <t xml:space="preserve"> SPEAKER S10</t>
  </si>
  <si>
    <t>grace amos</t>
  </si>
  <si>
    <t xml:space="preserve"> Monitor M24 </t>
  </si>
  <si>
    <t>PERIPHERALS</t>
  </si>
  <si>
    <t xml:space="preserve">TV  43Q </t>
  </si>
  <si>
    <t>Electronics</t>
  </si>
  <si>
    <t xml:space="preserve">peter  obi </t>
  </si>
  <si>
    <t>west</t>
  </si>
  <si>
    <t>TABLET T8</t>
  </si>
  <si>
    <t>alpha retailers</t>
  </si>
  <si>
    <t xml:space="preserve">North  </t>
  </si>
  <si>
    <t xml:space="preserve"> PHOTOGRAPHY</t>
  </si>
  <si>
    <t>Peter Obi</t>
  </si>
  <si>
    <t>Alpha  Retailers</t>
  </si>
  <si>
    <t xml:space="preserve"> Peter Obi </t>
  </si>
  <si>
    <t>Femi  Tech</t>
  </si>
  <si>
    <t>Monitor  M24</t>
  </si>
  <si>
    <t>maryam  ltd</t>
  </si>
  <si>
    <t xml:space="preserve">Monitor  M24 </t>
  </si>
  <si>
    <t xml:space="preserve">Peripherals </t>
  </si>
  <si>
    <t xml:space="preserve"> Mary John </t>
  </si>
  <si>
    <t xml:space="preserve"> east </t>
  </si>
  <si>
    <t>CAMERA C100</t>
  </si>
  <si>
    <t>PHOTOGRAPHY</t>
  </si>
  <si>
    <t xml:space="preserve"> GRACE AMOS</t>
  </si>
  <si>
    <t xml:space="preserve">  North</t>
  </si>
  <si>
    <t xml:space="preserve"> PHONE X12 </t>
  </si>
  <si>
    <t xml:space="preserve">  MARY JOHN </t>
  </si>
  <si>
    <t xml:space="preserve">NORTH  </t>
  </si>
  <si>
    <t xml:space="preserve"> mary john 	</t>
  </si>
  <si>
    <t>TOPE &amp; SONS</t>
  </si>
  <si>
    <t>SOUTH</t>
  </si>
  <si>
    <t xml:space="preserve">  PHONE X12 </t>
  </si>
  <si>
    <t>LAPTOP A15</t>
  </si>
  <si>
    <t xml:space="preserve"> Mary John</t>
  </si>
  <si>
    <t xml:space="preserve">  east</t>
  </si>
  <si>
    <t xml:space="preserve">SPEAKER  S10 </t>
  </si>
  <si>
    <t>Audio</t>
  </si>
  <si>
    <t xml:space="preserve">ifeanyi okafor </t>
  </si>
  <si>
    <t xml:space="preserve">west	</t>
  </si>
  <si>
    <t xml:space="preserve">Mary John </t>
  </si>
  <si>
    <t xml:space="preserve">  East</t>
  </si>
  <si>
    <t xml:space="preserve">Tablet  T8 </t>
  </si>
  <si>
    <t>Fola  Balogun</t>
  </si>
  <si>
    <t xml:space="preserve"> west </t>
  </si>
  <si>
    <t>MARY JOHN</t>
  </si>
  <si>
    <t>TV  43Q</t>
  </si>
  <si>
    <t xml:space="preserve"> KELVIN TECH</t>
  </si>
  <si>
    <t>Speaker  S10</t>
  </si>
  <si>
    <t>audio</t>
  </si>
  <si>
    <t xml:space="preserve">  Aisha Bello </t>
  </si>
  <si>
    <t xml:space="preserve"> BRIGHT SOLUTIONS</t>
  </si>
  <si>
    <t xml:space="preserve"> West </t>
  </si>
  <si>
    <t>monitor  m24</t>
  </si>
  <si>
    <t xml:space="preserve"> PERIPHERALS</t>
  </si>
  <si>
    <t xml:space="preserve"> fola balogun</t>
  </si>
  <si>
    <t>Femi Tech</t>
  </si>
  <si>
    <t xml:space="preserve">grace amos </t>
  </si>
  <si>
    <t>jide superstores</t>
  </si>
  <si>
    <t xml:space="preserve">  WEST</t>
  </si>
  <si>
    <t xml:space="preserve"> FEMI TECH</t>
  </si>
  <si>
    <t xml:space="preserve"> West</t>
  </si>
  <si>
    <t xml:space="preserve">tv  43q </t>
  </si>
  <si>
    <t xml:space="preserve">phone x12 </t>
  </si>
  <si>
    <t>aisha  bello</t>
  </si>
  <si>
    <t xml:space="preserve">Tablet T8	</t>
  </si>
  <si>
    <t>MOBILE</t>
  </si>
  <si>
    <t xml:space="preserve"> EAST	</t>
  </si>
  <si>
    <t>Kelvin  Tech</t>
  </si>
  <si>
    <t xml:space="preserve"> aisha bello</t>
  </si>
  <si>
    <t>zainab global</t>
  </si>
  <si>
    <t>east</t>
  </si>
  <si>
    <t xml:space="preserve">  south</t>
  </si>
  <si>
    <t xml:space="preserve">  TABLET T8 </t>
  </si>
  <si>
    <t xml:space="preserve">  aisha bello</t>
  </si>
  <si>
    <t>Emeka  Traders</t>
  </si>
  <si>
    <t>TV 43Q</t>
  </si>
  <si>
    <t xml:space="preserve">  CHINEDU NWOSU</t>
  </si>
  <si>
    <t>Tola  Ventures</t>
  </si>
  <si>
    <t xml:space="preserve">  chinedu nwosu </t>
  </si>
  <si>
    <t>CHIKA MART</t>
  </si>
  <si>
    <t xml:space="preserve">SPEAKER S10	</t>
  </si>
  <si>
    <t>Fola Balogun</t>
  </si>
  <si>
    <t xml:space="preserve">  emeka traders</t>
  </si>
  <si>
    <t xml:space="preserve">  Chinedu Nwosu</t>
  </si>
  <si>
    <t xml:space="preserve"> MOBILE</t>
  </si>
  <si>
    <t xml:space="preserve">Ifeanyi Okafor </t>
  </si>
  <si>
    <t xml:space="preserve">peter obi </t>
  </si>
  <si>
    <t xml:space="preserve"> Speaker S10</t>
  </si>
  <si>
    <t xml:space="preserve">  chinedu nwosu</t>
  </si>
  <si>
    <t>Chika Mart</t>
  </si>
  <si>
    <t xml:space="preserve">Chinedu Nwosu </t>
  </si>
  <si>
    <t xml:space="preserve"> TOLA VENTURES</t>
  </si>
  <si>
    <t xml:space="preserve"> Tv 43Q </t>
  </si>
  <si>
    <t xml:space="preserve">Chinedu  Nwosu </t>
  </si>
  <si>
    <t xml:space="preserve"> monitor m24</t>
  </si>
  <si>
    <t>PHONE  X12</t>
  </si>
  <si>
    <t>AISHA BELLO</t>
  </si>
  <si>
    <t xml:space="preserve">EAST  </t>
  </si>
  <si>
    <t>GRACE AMOS</t>
  </si>
  <si>
    <t xml:space="preserve"> NORTH</t>
  </si>
  <si>
    <t>tv 43q</t>
  </si>
  <si>
    <t xml:space="preserve">  tv 43q</t>
  </si>
  <si>
    <t xml:space="preserve">  fola balogun</t>
  </si>
  <si>
    <t xml:space="preserve">Tv 43Q  </t>
  </si>
  <si>
    <t>ifeanyi  okafor</t>
  </si>
  <si>
    <t xml:space="preserve"> SOUTH </t>
  </si>
  <si>
    <t>SPEAKER S10</t>
  </si>
  <si>
    <t xml:space="preserve">aisha bello   </t>
  </si>
  <si>
    <t xml:space="preserve">  EAST</t>
  </si>
  <si>
    <t>TABLET  T8</t>
  </si>
  <si>
    <t xml:space="preserve"> FOLA BALOGUN  </t>
  </si>
  <si>
    <t xml:space="preserve"> Musa Enterprises</t>
  </si>
  <si>
    <t xml:space="preserve"> South</t>
  </si>
  <si>
    <t xml:space="preserve"> Peripherals</t>
  </si>
  <si>
    <t xml:space="preserve">Grace Amos </t>
  </si>
  <si>
    <t>femi tech</t>
  </si>
  <si>
    <t xml:space="preserve"> COMPUTERS</t>
  </si>
  <si>
    <t xml:space="preserve"> Chinedu Nwosu </t>
  </si>
  <si>
    <t>MONITOR  M24</t>
  </si>
  <si>
    <t xml:space="preserve"> North </t>
  </si>
  <si>
    <t xml:space="preserve"> AISHA BELLO </t>
  </si>
  <si>
    <t xml:space="preserve">Aisha Bello </t>
  </si>
  <si>
    <t>Omega  Wholesale</t>
  </si>
  <si>
    <t xml:space="preserve">  west</t>
  </si>
  <si>
    <t xml:space="preserve">Speaker  S10 </t>
  </si>
  <si>
    <t>AUDIO</t>
  </si>
  <si>
    <t>FEMI  TECH</t>
  </si>
  <si>
    <t>Mary  John</t>
  </si>
  <si>
    <t xml:space="preserve">East </t>
  </si>
  <si>
    <t>Mary John</t>
  </si>
  <si>
    <t xml:space="preserve"> Kelvin Tech</t>
  </si>
  <si>
    <t xml:space="preserve">GRACE AMOS   </t>
  </si>
  <si>
    <t xml:space="preserve">Camera C100   </t>
  </si>
  <si>
    <t xml:space="preserve">  Photography</t>
  </si>
  <si>
    <t xml:space="preserve">  South</t>
  </si>
  <si>
    <t xml:space="preserve">  Peter Obi</t>
  </si>
  <si>
    <t xml:space="preserve">north	</t>
  </si>
  <si>
    <t xml:space="preserve">camera  c100 </t>
  </si>
  <si>
    <t xml:space="preserve"> IFEANYI OKAFOR </t>
  </si>
  <si>
    <t xml:space="preserve"> peter obi </t>
  </si>
  <si>
    <t>femi  tech</t>
  </si>
  <si>
    <t xml:space="preserve"> WEST</t>
  </si>
  <si>
    <t xml:space="preserve">TABLET T8 </t>
  </si>
  <si>
    <t xml:space="preserve">grace amos	</t>
  </si>
  <si>
    <t>ALPHA RETAILERS</t>
  </si>
  <si>
    <t>Capstone project</t>
  </si>
  <si>
    <t>Praise Odunayo</t>
  </si>
  <si>
    <t>Aba Joel</t>
  </si>
  <si>
    <t>Job Austin</t>
  </si>
  <si>
    <t>NorTH</t>
  </si>
  <si>
    <t>Camera C100</t>
  </si>
  <si>
    <t>Speaker S10</t>
  </si>
  <si>
    <t xml:space="preserve"> MONITOR M24</t>
  </si>
  <si>
    <t xml:space="preserve">SPEAKER S10 </t>
  </si>
  <si>
    <t xml:space="preserve">IFEANYI OKAFOR	</t>
  </si>
  <si>
    <t xml:space="preserve"> MARY JOHN</t>
  </si>
  <si>
    <t>chika  mart</t>
  </si>
  <si>
    <t>Tope &amp; Sons</t>
  </si>
  <si>
    <t>JIDE SUPERSTORES</t>
  </si>
  <si>
    <t xml:space="preserve">  Grace Amos</t>
  </si>
  <si>
    <t>zainab  global</t>
  </si>
  <si>
    <t xml:space="preserve">  Computers</t>
  </si>
  <si>
    <t>computers</t>
  </si>
  <si>
    <t xml:space="preserve">  PERIPHERALS</t>
  </si>
  <si>
    <t xml:space="preserve">  mobile</t>
  </si>
  <si>
    <t xml:space="preserve"> Audio</t>
  </si>
  <si>
    <t xml:space="preserve"> Computers</t>
  </si>
  <si>
    <t>Peripherals</t>
  </si>
  <si>
    <t xml:space="preserve"> mobile</t>
  </si>
  <si>
    <t xml:space="preserve"> peripherals</t>
  </si>
  <si>
    <t>COMPUTERS</t>
  </si>
  <si>
    <t xml:space="preserve"> ELECTRONICS</t>
  </si>
  <si>
    <t xml:space="preserve">  Electronics</t>
  </si>
  <si>
    <t xml:space="preserve">  Audio</t>
  </si>
  <si>
    <t>REGION_1</t>
  </si>
  <si>
    <t>PRODUCT_1</t>
  </si>
  <si>
    <t>CATEGORY_1</t>
  </si>
  <si>
    <t>SALES REP_1</t>
  </si>
  <si>
    <t>CUSTOMER_1</t>
  </si>
  <si>
    <t>AMOUNT_1</t>
  </si>
  <si>
    <t>Date_1</t>
  </si>
  <si>
    <t>Units Sold_1</t>
  </si>
  <si>
    <t>Unit Price_1</t>
  </si>
  <si>
    <t xml:space="preserve"> ZAINAB GLOBAL</t>
  </si>
  <si>
    <t xml:space="preserve"> Jide Superstores</t>
  </si>
  <si>
    <t>BRIGht  SOLUTIONS</t>
  </si>
  <si>
    <t xml:space="preserve">  Jide Superstores</t>
  </si>
  <si>
    <t>Emeka Traders</t>
  </si>
  <si>
    <t xml:space="preserve">  Femi Tech</t>
  </si>
  <si>
    <t xml:space="preserve"> zainab global</t>
  </si>
  <si>
    <t xml:space="preserve"> Femi Tech</t>
  </si>
  <si>
    <t>TOPE  &amp; SONS</t>
  </si>
  <si>
    <t>KELVIN TECH</t>
  </si>
  <si>
    <t xml:space="preserve">  ALPHA RETAILERS</t>
  </si>
  <si>
    <t xml:space="preserve">  Chika Mart</t>
  </si>
  <si>
    <t>Jide Superstores</t>
  </si>
  <si>
    <t xml:space="preserve">  Kelvin Tech</t>
  </si>
  <si>
    <t xml:space="preserve"> adewale stores</t>
  </si>
  <si>
    <t>maryam ltd</t>
  </si>
  <si>
    <t>Kelvin Tech</t>
  </si>
  <si>
    <t>Adewale  Stores</t>
  </si>
  <si>
    <t>OMEGA WHOLESALE</t>
  </si>
  <si>
    <t>TOpe &amp; SONS</t>
  </si>
  <si>
    <t xml:space="preserve"> MUSA ENTERPRISES</t>
  </si>
  <si>
    <t>Bright Solutions</t>
  </si>
  <si>
    <t xml:space="preserve">  Emeka Traders</t>
  </si>
  <si>
    <t xml:space="preserve"> Tola Ventures</t>
  </si>
  <si>
    <t xml:space="preserve">  Phone X12</t>
  </si>
  <si>
    <t xml:space="preserve"> TABLET T8</t>
  </si>
  <si>
    <t xml:space="preserve"> camera c100</t>
  </si>
  <si>
    <t xml:space="preserve"> Tablet T8</t>
  </si>
  <si>
    <t>laptop a15</t>
  </si>
  <si>
    <t xml:space="preserve"> east</t>
  </si>
  <si>
    <t xml:space="preserve"> south</t>
  </si>
  <si>
    <t>electronics</t>
  </si>
  <si>
    <t>EleCTRONICS</t>
  </si>
  <si>
    <t>Row Labels</t>
  </si>
  <si>
    <t>Grand Total</t>
  </si>
  <si>
    <t>Sum of AMOUNT_1</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</si>
  <si>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</si>
  <si>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</si>
  <si>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</si>
  <si>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</si>
  <si>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</si>
  <si>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</si>
  <si>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</si>
  <si>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</si>
  <si>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</si>
  <si>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</si>
  <si>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</si>
  <si>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</si>
  <si>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</si>
  <si>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</si>
  <si>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</si>
  <si>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</si>
  <si>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</si>
  <si>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</si>
  <si>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</si>
  <si>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</si>
  <si>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</si>
  <si>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</si>
  <si>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</si>
  <si>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</si>
  <si>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</si>
  <si>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</si>
  <si>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</si>
  <si>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</si>
  <si>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</si>
  <si>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</si>
  <si>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</si>
  <si>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</si>
  <si>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</si>
  <si>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</si>
  <si>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</si>
  <si>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</si>
  <si>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</si>
  <si>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</si>
  <si>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</si>
  <si>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</si>
  <si>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</si>
  <si>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</si>
  <si>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</si>
  <si>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</si>
  <si>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</si>
  <si>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</si>
  <si>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</si>
  <si>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</si>
  <si>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</si>
  <si>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</si>
  <si>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</si>
  <si>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</si>
  <si>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</si>
  <si>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</si>
  <si>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</si>
  <si>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</si>
  <si>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</si>
  <si>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</si>
  <si>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</si>
  <si>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</si>
  <si>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</si>
  <si>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</si>
  <si>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</si>
  <si>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</si>
  <si>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</si>
  <si>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</si>
  <si>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</si>
  <si>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</si>
  <si>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</si>
  <si>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</si>
  <si>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</si>
  <si>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</si>
  <si>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</si>
  <si>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</si>
  <si>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</si>
  <si>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</si>
  <si>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</si>
  <si>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</si>
  <si>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</si>
  <si>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</si>
  <si>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</si>
  <si>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</si>
  <si>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</si>
  <si>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</si>
  <si>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</si>
  <si>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</si>
  <si>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</si>
  <si>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</si>
  <si>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</si>
  <si>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</si>
  <si>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</si>
  <si>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</si>
  <si>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</si>
  <si>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</si>
  <si>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</si>
  <si>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</si>
  <si>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</si>
  <si>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</si>
  <si>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</si>
  <si>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</si>
  <si>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Max of AMOUNT_1</t>
  </si>
  <si>
    <t>Min of AMOUNT_1</t>
  </si>
  <si>
    <t>Average of AMOUNT_1</t>
  </si>
  <si>
    <t>Monitor M24</t>
  </si>
  <si>
    <t>Phone X12</t>
  </si>
  <si>
    <t>Tv 43Q</t>
  </si>
  <si>
    <t>Sum of Units Sold_1</t>
  </si>
  <si>
    <t xml:space="preserve">Laptop A15	</t>
  </si>
  <si>
    <t>Grace Amos</t>
  </si>
  <si>
    <t>Ifeanyi Okafor</t>
  </si>
  <si>
    <t>Count of AMOUNT_1</t>
  </si>
  <si>
    <t>S</t>
  </si>
  <si>
    <t>Column Labels</t>
  </si>
  <si>
    <t>Zainab Global</t>
  </si>
  <si>
    <t>Tola Ventures</t>
  </si>
  <si>
    <t>Adewale Stores</t>
  </si>
  <si>
    <t>CUSTOMERS</t>
  </si>
  <si>
    <t>BOTTOM 3 CUSTOMER BY AMOUNT</t>
  </si>
  <si>
    <t>TOP 5 CUSTOMERS BY AMONT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</si>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</sst>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x16r2:formatCode16="[$-en-NG,1]d\ mmmm\ yyyy;@"/>
    <numFmt numFmtId="165" formatCode="0.0"/>
    <numFmt numFmtId="166" formatCode="&quot;₦&quot;#,##0.00"/>
  </numFmts>
  <fonts count="13"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8"/>
      <name val="Calibri"/>
      <family val="2"/>
      <scheme val="minor"/>
    </font>
    <font>
      <b/>
      <sz val="11"/>
      <color theme="1"/>
      <name val="Calibri"/>
      <family val="2"/>
      <scheme val="minor"/>
    </font>
    <font>
      <b/>
      <sz val="11"/>
      <color rgb="FFFFFF00"/>
      <name val="Calibri"/>
      <family val="2"/>
      <scheme val="minor"/>
    </font>
    <font>
      <sz val="11"/>
      <color theme="1"/>
      <name val="Calibri"/>
      <family val="2"/>
    </font>
    <font>
      <b/>
      <shadow/>
      <sz val="16"/>
      <color rgb="FF262626"/>
      <name val="Calibri"/>
      <family val="2"/>
      <scheme val="minor"/>
    </font>
    <font>
      <b/>
      <shadow/>
      <sz val="12"/>
      <color rgb="FF262626"/>
      <name val="Calibri"/>
      <family val="2"/>
      <scheme val="minor"/>
    </font>
    <font>
      <b/>
      <shadow/>
      <sz val="14"/>
      <color rgb="FF262626"/>
      <name val="Calibri"/>
      <family val="2"/>
      <scheme val="minor"/>
    </font>
    <font>
      <sz val="16"/>
      <color rgb="FF00B050"/>
      <name val="Calibri"/>
      <family val="2"/>
      <scheme val="minor"/>
    </font>
    <font>
      <sz val="11"/>
      <color rgb="FFFF0000"/>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0099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thin">
        <color auto="1"/>
      </left>
      <right style="thin">
        <color auto="1"/>
      </right>
      <top/>
      <bottom/>
      <diagonal/>
    </border>
    <border>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5">
    <xf numFmtId="0" fontId="0" fillId="0" borderId="0" xfId="0"/>
    <xf numFmtId="0" fontId="0" fillId="0" borderId="1" xfId="0" applyBorder="1"/>
    <xf numFmtId="0" fontId="1" fillId="2" borderId="1" xfId="0" applyFont="1" applyFill="1" applyBorder="1" applyAlignment="1">
      <alignment horizontal="center" vertical="top"/>
    </xf>
    <xf numFmtId="0" fontId="0" fillId="3" borderId="0" xfId="0" applyFill="1"/>
    <xf numFmtId="0" fontId="2" fillId="3" borderId="2" xfId="0" applyFont="1" applyFill="1" applyBorder="1"/>
    <xf numFmtId="0" fontId="3" fillId="3" borderId="2" xfId="0" applyFont="1" applyFill="1" applyBorder="1"/>
    <xf numFmtId="14" fontId="0" fillId="0" borderId="0" xfId="0" applyNumberFormat="1" applyAlignment="1">
      <alignment horizontal="left"/>
    </xf>
    <xf numFmtId="49" fontId="1" fillId="2" borderId="1" xfId="0" applyNumberFormat="1" applyFont="1" applyFill="1" applyBorder="1" applyAlignment="1">
      <alignment horizontal="center" vertical="top"/>
    </xf>
    <xf numFmtId="49" fontId="0" fillId="0" borderId="1" xfId="0" applyNumberFormat="1" applyBorder="1"/>
    <xf numFmtId="49" fontId="0" fillId="0" borderId="0" xfId="0" applyNumberFormat="1"/>
    <xf numFmtId="0" fontId="1" fillId="2" borderId="3" xfId="0" applyFont="1" applyFill="1" applyBorder="1" applyAlignment="1">
      <alignment horizontal="center" vertical="top"/>
    </xf>
    <xf numFmtId="165" fontId="1" fillId="2" borderId="1" xfId="0" applyNumberFormat="1" applyFont="1" applyFill="1" applyBorder="1" applyAlignment="1">
      <alignment horizontal="center" vertical="top"/>
    </xf>
    <xf numFmtId="165" fontId="0" fillId="0" borderId="1" xfId="0" applyNumberFormat="1" applyBorder="1"/>
    <xf numFmtId="165" fontId="0" fillId="0" borderId="0" xfId="0" applyNumberFormat="1"/>
    <xf numFmtId="166" fontId="1" fillId="2" borderId="1" xfId="0" applyNumberFormat="1" applyFont="1" applyFill="1" applyBorder="1" applyAlignment="1">
      <alignment horizontal="center" vertical="top"/>
    </xf>
    <xf numFmtId="166" fontId="0" fillId="0" borderId="1" xfId="0" applyNumberFormat="1" applyBorder="1"/>
    <xf numFmtId="166" fontId="0" fillId="0" borderId="0" xfId="0" applyNumberFormat="1"/>
    <xf numFmtId="166" fontId="1" fillId="2" borderId="3" xfId="0" applyNumberFormat="1" applyFont="1" applyFill="1" applyBorder="1" applyAlignment="1">
      <alignment horizontal="center" vertical="top"/>
    </xf>
    <xf numFmtId="14" fontId="1" fillId="2" borderId="4" xfId="0" applyNumberFormat="1" applyFont="1" applyFill="1" applyBorder="1" applyAlignment="1">
      <alignment horizontal="left" vertical="top"/>
    </xf>
    <xf numFmtId="164" fontId="0" fillId="0" borderId="4" xfId="0" applyNumberFormat="1" applyBorder="1" applyAlignment="1">
      <alignment horizontal="left"/>
    </xf>
    <xf numFmtId="0" fontId="0" fillId="0" borderId="0" xfId="0" pivotButton="1"/>
    <xf numFmtId="0" fontId="0" fillId="0" borderId="0" xfId="0" applyAlignment="1">
      <alignment horizontal="left"/>
    </xf>
    <xf numFmtId="10" fontId="0" fillId="0" borderId="0" xfId="0" applyNumberFormat="1"/>
    <xf numFmtId="0" fontId="5" fillId="4" borderId="5" xfId="0" applyFont="1" applyFill="1" applyBorder="1"/>
    <xf numFmtId="0" fontId="5" fillId="4" borderId="6" xfId="0" applyFont="1" applyFill="1" applyBorder="1" applyAlignment="1">
      <alignment horizontal="left"/>
    </xf>
    <xf numFmtId="166" fontId="5" fillId="4" borderId="6" xfId="0" applyNumberFormat="1" applyFont="1" applyFill="1" applyBorder="1"/>
    <xf numFmtId="0" fontId="0" fillId="5" borderId="0" xfId="0" applyFill="1"/>
    <xf numFmtId="0" fontId="7" fillId="5" borderId="0" xfId="0" applyFont="1" applyFill="1"/>
    <xf numFmtId="0" fontId="11" fillId="5" borderId="0" xfId="0" applyFont="1" applyFill="1"/>
    <xf numFmtId="0" fontId="6" fillId="5" borderId="0" xfId="0" applyFont="1" applyFill="1" applyAlignment="1">
      <alignment horizontal="center" vertical="center"/>
    </xf>
    <xf numFmtId="0" fontId="9" fillId="5" borderId="0" xfId="0" applyFont="1" applyFill="1" applyAlignment="1">
      <alignment horizontal="center" vertical="center"/>
    </xf>
    <xf numFmtId="0" fontId="8" fillId="5" borderId="0" xfId="0" applyFont="1" applyFill="1" applyAlignment="1">
      <alignment horizontal="center" vertical="center"/>
    </xf>
    <xf numFmtId="0" fontId="10" fillId="5" borderId="0" xfId="0" applyFont="1" applyFill="1" applyAlignment="1">
      <alignment horizontal="center" vertical="center"/>
    </xf>
    <xf numFmtId="0" fontId="12" fillId="0" borderId="0" xfId="0" applyFont="1"/>
    <xf numFmtId="0" fontId="12" fillId="0" borderId="1" xfId="0" applyFont="1" applyBorder="1"/>
  </cellXfs>
  <cellStyles count="1">
    <cellStyle name="Normal" xfId="0" builtinId="0"/>
  </cellStyles>
  <dxfs count="12">
    <dxf>
      <numFmt numFmtId="166" formatCode="&quot;₦&quot;#,##0.00"/>
    </dxf>
    <dxf>
      <numFmt numFmtId="0" formatCode="General"/>
    </dxf>
    <dxf>
      <numFmt numFmtId="30" formatCode="@"/>
      <border diagonalUp="0" diagonalDown="0">
        <left style="thin">
          <color auto="1"/>
        </left>
        <right style="thin">
          <color auto="1"/>
        </right>
        <top style="thin">
          <color auto="1"/>
        </top>
        <bottom style="thin">
          <color auto="1"/>
        </bottom>
        <vertical/>
        <horizontal/>
      </border>
    </dxf>
    <dxf>
      <numFmt numFmtId="30" formatCode="@"/>
      <border diagonalUp="0" diagonalDown="0">
        <left style="thin">
          <color auto="1"/>
        </left>
        <right style="thin">
          <color auto="1"/>
        </right>
        <top style="thin">
          <color auto="1"/>
        </top>
        <bottom style="thin">
          <color auto="1"/>
        </bottom>
        <vertical/>
        <horizontal/>
      </border>
    </dxf>
    <dxf>
      <numFmt numFmtId="166" formatCode="&quot;₦&quot;#,##0.00"/>
      <border diagonalUp="0" diagonalDown="0">
        <left style="thin">
          <color auto="1"/>
        </left>
        <right style="thin">
          <color auto="1"/>
        </right>
        <top style="thin">
          <color auto="1"/>
        </top>
        <bottom style="thin">
          <color auto="1"/>
        </bottom>
        <vertical/>
        <horizontal/>
      </border>
    </dxf>
    <dxf>
      <numFmt numFmtId="165" formatCode="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30" formatCode="@"/>
      <border diagonalUp="0" diagonalDown="0">
        <left style="thin">
          <color auto="1"/>
        </left>
        <right style="thin">
          <color auto="1"/>
        </right>
        <top style="thin">
          <color auto="1"/>
        </top>
        <bottom style="thin">
          <color auto="1"/>
        </bottom>
        <vertical/>
        <horizontal/>
      </border>
    </dxf>
    <dxf>
      <numFmt numFmtId="164" formatCode="[$]d\ mmmm\ yyyy;@" x16r2:formatCode16="[$-en-NG,1]d\ mmmm\ yyyy;@"/>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9900"/>
      <color rgb="FFE227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TABLES!PivotTable10</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COUNT </a:t>
            </a:r>
          </a:p>
          <a:p>
            <a:pPr>
              <a:defRPr/>
            </a:pPr>
            <a:r>
              <a:rPr lang="en-US" sz="900" b="1"/>
              <a:t>BY SALES PERSON PER REGION</a:t>
            </a:r>
          </a:p>
        </c:rich>
      </c:tx>
      <c:layout>
        <c:manualLayout>
          <c:xMode val="edge"/>
          <c:yMode val="edge"/>
          <c:x val="0.39645759797266722"/>
          <c:y val="1.5151515151515152E-2"/>
        </c:manualLayout>
      </c:layout>
      <c:overlay val="0"/>
      <c:spPr>
        <a:noFill/>
        <a:ln w="0">
          <a:solidFill>
            <a:srgbClr val="92D05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6218358265136E-2"/>
          <c:y val="5.7971014492753624E-2"/>
          <c:w val="0.84269065896543494"/>
          <c:h val="0.62230410921954915"/>
        </c:manualLayout>
      </c:layout>
      <c:barChart>
        <c:barDir val="col"/>
        <c:grouping val="clustered"/>
        <c:varyColors val="0"/>
        <c:ser>
          <c:idx val="0"/>
          <c:order val="0"/>
          <c:tx>
            <c:strRef>
              <c:f>'PIVOT TABLES'!$J$27:$J$28</c:f>
              <c:strCache>
                <c:ptCount val="1"/>
                <c:pt idx="0">
                  <c:v>East</c:v>
                </c:pt>
              </c:strCache>
            </c:strRef>
          </c:tx>
          <c:spPr>
            <a:solidFill>
              <a:schemeClr val="accent1"/>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TABLES'!$J$29:$J$39</c:f>
              <c:numCache>
                <c:formatCode>0.0</c:formatCode>
                <c:ptCount val="10"/>
                <c:pt idx="0">
                  <c:v>10</c:v>
                </c:pt>
                <c:pt idx="1">
                  <c:v>21</c:v>
                </c:pt>
                <c:pt idx="2">
                  <c:v>96</c:v>
                </c:pt>
                <c:pt idx="3">
                  <c:v>97</c:v>
                </c:pt>
                <c:pt idx="4">
                  <c:v>89</c:v>
                </c:pt>
                <c:pt idx="5">
                  <c:v>63</c:v>
                </c:pt>
                <c:pt idx="7">
                  <c:v>44</c:v>
                </c:pt>
                <c:pt idx="8">
                  <c:v>10</c:v>
                </c:pt>
              </c:numCache>
            </c:numRef>
          </c:val>
          <c:extLst>
            <c:ext xmlns:c16="http://schemas.microsoft.com/office/drawing/2014/chart" uri="{C3380CC4-5D6E-409C-BE32-E72D297353CC}">
              <c16:uniqueId val="{00000000-8211-42E5-8575-610EE8136500}"/>
            </c:ext>
          </c:extLst>
        </c:ser>
        <c:ser>
          <c:idx val="1"/>
          <c:order val="1"/>
          <c:tx>
            <c:strRef>
              <c:f>'PIVOT TABLES'!$K$27:$K$28</c:f>
              <c:strCache>
                <c:ptCount val="1"/>
                <c:pt idx="0">
                  <c:v>North</c:v>
                </c:pt>
              </c:strCache>
            </c:strRef>
          </c:tx>
          <c:spPr>
            <a:solidFill>
              <a:schemeClr val="accent2"/>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TABLES'!$K$29:$K$39</c:f>
              <c:numCache>
                <c:formatCode>0.0</c:formatCode>
                <c:ptCount val="10"/>
                <c:pt idx="1">
                  <c:v>35</c:v>
                </c:pt>
                <c:pt idx="2">
                  <c:v>22</c:v>
                </c:pt>
                <c:pt idx="3">
                  <c:v>27</c:v>
                </c:pt>
                <c:pt idx="4">
                  <c:v>25</c:v>
                </c:pt>
                <c:pt idx="5">
                  <c:v>49</c:v>
                </c:pt>
                <c:pt idx="7">
                  <c:v>30</c:v>
                </c:pt>
                <c:pt idx="8">
                  <c:v>8</c:v>
                </c:pt>
              </c:numCache>
            </c:numRef>
          </c:val>
          <c:extLst>
            <c:ext xmlns:c16="http://schemas.microsoft.com/office/drawing/2014/chart" uri="{C3380CC4-5D6E-409C-BE32-E72D297353CC}">
              <c16:uniqueId val="{00000001-8211-42E5-8575-610EE8136500}"/>
            </c:ext>
          </c:extLst>
        </c:ser>
        <c:ser>
          <c:idx val="2"/>
          <c:order val="2"/>
          <c:tx>
            <c:strRef>
              <c:f>'PIVOT TABLES'!$L$27:$L$28</c:f>
              <c:strCache>
                <c:ptCount val="1"/>
                <c:pt idx="0">
                  <c:v>South</c:v>
                </c:pt>
              </c:strCache>
            </c:strRef>
          </c:tx>
          <c:spPr>
            <a:solidFill>
              <a:schemeClr val="accent3"/>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TABLES'!$L$29:$L$39</c:f>
              <c:numCache>
                <c:formatCode>0.0</c:formatCode>
                <c:ptCount val="10"/>
                <c:pt idx="1">
                  <c:v>56</c:v>
                </c:pt>
                <c:pt idx="2">
                  <c:v>48</c:v>
                </c:pt>
                <c:pt idx="3">
                  <c:v>40</c:v>
                </c:pt>
                <c:pt idx="4">
                  <c:v>23</c:v>
                </c:pt>
                <c:pt idx="5">
                  <c:v>20</c:v>
                </c:pt>
                <c:pt idx="6">
                  <c:v>15</c:v>
                </c:pt>
                <c:pt idx="7">
                  <c:v>7</c:v>
                </c:pt>
                <c:pt idx="8">
                  <c:v>64</c:v>
                </c:pt>
                <c:pt idx="9">
                  <c:v>19</c:v>
                </c:pt>
              </c:numCache>
            </c:numRef>
          </c:val>
          <c:extLst>
            <c:ext xmlns:c16="http://schemas.microsoft.com/office/drawing/2014/chart" uri="{C3380CC4-5D6E-409C-BE32-E72D297353CC}">
              <c16:uniqueId val="{00000031-8211-42E5-8575-610EE8136500}"/>
            </c:ext>
          </c:extLst>
        </c:ser>
        <c:ser>
          <c:idx val="3"/>
          <c:order val="3"/>
          <c:tx>
            <c:strRef>
              <c:f>'PIVOT TABLES'!$M$27:$M$28</c:f>
              <c:strCache>
                <c:ptCount val="1"/>
                <c:pt idx="0">
                  <c:v>West</c:v>
                </c:pt>
              </c:strCache>
            </c:strRef>
          </c:tx>
          <c:spPr>
            <a:solidFill>
              <a:schemeClr val="accent4"/>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TABLES'!$M$29:$M$39</c:f>
              <c:numCache>
                <c:formatCode>0.0</c:formatCode>
                <c:ptCount val="10"/>
                <c:pt idx="1">
                  <c:v>12</c:v>
                </c:pt>
                <c:pt idx="2">
                  <c:v>58</c:v>
                </c:pt>
                <c:pt idx="3">
                  <c:v>31</c:v>
                </c:pt>
                <c:pt idx="4">
                  <c:v>40</c:v>
                </c:pt>
                <c:pt idx="5">
                  <c:v>19</c:v>
                </c:pt>
                <c:pt idx="7">
                  <c:v>24</c:v>
                </c:pt>
                <c:pt idx="8">
                  <c:v>39</c:v>
                </c:pt>
              </c:numCache>
            </c:numRef>
          </c:val>
          <c:extLst>
            <c:ext xmlns:c16="http://schemas.microsoft.com/office/drawing/2014/chart" uri="{C3380CC4-5D6E-409C-BE32-E72D297353CC}">
              <c16:uniqueId val="{00000040-8211-42E5-8575-610EE8136500}"/>
            </c:ext>
          </c:extLst>
        </c:ser>
        <c:dLbls>
          <c:showLegendKey val="0"/>
          <c:showVal val="0"/>
          <c:showCatName val="0"/>
          <c:showSerName val="0"/>
          <c:showPercent val="0"/>
          <c:showBubbleSize val="0"/>
        </c:dLbls>
        <c:gapWidth val="219"/>
        <c:overlap val="-27"/>
        <c:axId val="230153536"/>
        <c:axId val="230177056"/>
      </c:barChart>
      <c:catAx>
        <c:axId val="2301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0177056"/>
        <c:crosses val="autoZero"/>
        <c:auto val="1"/>
        <c:lblAlgn val="ctr"/>
        <c:lblOffset val="100"/>
        <c:noMultiLvlLbl val="0"/>
      </c:catAx>
      <c:valAx>
        <c:axId val="2301770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0153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TABLES'!$E$62</c:f>
              <c:strCache>
                <c:ptCount val="1"/>
                <c:pt idx="0">
                  <c:v>Total</c:v>
                </c:pt>
              </c:strCache>
            </c:strRef>
          </c:tx>
          <c:spPr>
            <a:solidFill>
              <a:schemeClr val="accent1"/>
            </a:solidFill>
            <a:ln>
              <a:noFill/>
            </a:ln>
            <a:effectLst/>
          </c:spPr>
          <c:invertIfNegative val="0"/>
          <c:cat>
            <c:strRef>
              <c:f>'PIVOT TABLES'!$D$63:$D$77</c:f>
              <c:strCache>
                <c:ptCount val="14"/>
                <c:pt idx="0">
                  <c:v>Adewale Stores</c:v>
                </c:pt>
                <c:pt idx="1">
                  <c:v>Alpha Retailers</c:v>
                </c:pt>
                <c:pt idx="2">
                  <c:v>Bright Solutions</c:v>
                </c:pt>
                <c:pt idx="3">
                  <c:v>Chika Mart</c:v>
                </c:pt>
                <c:pt idx="4">
                  <c:v>Emeka Traders</c:v>
                </c:pt>
                <c:pt idx="5">
                  <c:v>Femi Tech</c:v>
                </c:pt>
                <c:pt idx="6">
                  <c:v>Jide Superstores</c:v>
                </c:pt>
                <c:pt idx="7">
                  <c:v>Kelvin Tech</c:v>
                </c:pt>
                <c:pt idx="8">
                  <c:v>Maryam Ltd</c:v>
                </c:pt>
                <c:pt idx="9">
                  <c:v>Musa Enterprises</c:v>
                </c:pt>
                <c:pt idx="10">
                  <c:v>Omega Wholesale</c:v>
                </c:pt>
                <c:pt idx="11">
                  <c:v>Tola Ventures</c:v>
                </c:pt>
                <c:pt idx="12">
                  <c:v>Tope &amp; Sons</c:v>
                </c:pt>
                <c:pt idx="13">
                  <c:v>Zainab Global</c:v>
                </c:pt>
              </c:strCache>
            </c:strRef>
          </c:cat>
          <c:val>
            <c:numRef>
              <c:f>'PIVOT TABLES'!$E$63:$E$77</c:f>
              <c:numCache>
                <c:formatCode>"₦"#,##0.00</c:formatCode>
                <c:ptCount val="14"/>
                <c:pt idx="0">
                  <c:v>2195000</c:v>
                </c:pt>
                <c:pt idx="1">
                  <c:v>11480000</c:v>
                </c:pt>
                <c:pt idx="2">
                  <c:v>31715000</c:v>
                </c:pt>
                <c:pt idx="3">
                  <c:v>15300000</c:v>
                </c:pt>
                <c:pt idx="4">
                  <c:v>17965000</c:v>
                </c:pt>
                <c:pt idx="5">
                  <c:v>31117487</c:v>
                </c:pt>
                <c:pt idx="6">
                  <c:v>23270000</c:v>
                </c:pt>
                <c:pt idx="7">
                  <c:v>10125000</c:v>
                </c:pt>
                <c:pt idx="8">
                  <c:v>12435000</c:v>
                </c:pt>
                <c:pt idx="9">
                  <c:v>27191113</c:v>
                </c:pt>
                <c:pt idx="10">
                  <c:v>89559500</c:v>
                </c:pt>
                <c:pt idx="11">
                  <c:v>12027385</c:v>
                </c:pt>
                <c:pt idx="12">
                  <c:v>8064960</c:v>
                </c:pt>
                <c:pt idx="13">
                  <c:v>10235000</c:v>
                </c:pt>
              </c:numCache>
            </c:numRef>
          </c:val>
          <c:extLst>
            <c:ext xmlns:c16="http://schemas.microsoft.com/office/drawing/2014/chart" uri="{C3380CC4-5D6E-409C-BE32-E72D297353CC}">
              <c16:uniqueId val="{00000000-9E01-40EA-9C43-DDE68BF80E2A}"/>
            </c:ext>
          </c:extLst>
        </c:ser>
        <c:dLbls>
          <c:showLegendKey val="0"/>
          <c:showVal val="0"/>
          <c:showCatName val="0"/>
          <c:showSerName val="0"/>
          <c:showPercent val="0"/>
          <c:showBubbleSize val="0"/>
        </c:dLbls>
        <c:gapWidth val="219"/>
        <c:overlap val="-27"/>
        <c:axId val="447856048"/>
        <c:axId val="447872368"/>
      </c:barChart>
      <c:catAx>
        <c:axId val="4478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47872368"/>
        <c:crosses val="autoZero"/>
        <c:auto val="1"/>
        <c:lblAlgn val="ctr"/>
        <c:lblOffset val="100"/>
        <c:noMultiLvlLbl val="0"/>
      </c:catAx>
      <c:valAx>
        <c:axId val="447872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478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c:name>
    <c:fmtId val="17"/>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a:t>TOTAL SALES</a:t>
            </a:r>
          </a:p>
        </c:rich>
      </c:tx>
      <c:layout>
        <c:manualLayout>
          <c:xMode val="edge"/>
          <c:yMode val="edge"/>
          <c:x val="9.6755117578243829E-2"/>
          <c:y val="8.443139580716340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1597001515525923E-3"/>
              <c:y val="1.344706911636045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1597001515525923E-3"/>
              <c:y val="1.344706911636045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1597001515525923E-3"/>
              <c:y val="1.3447069116360455E-2"/>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4C0675E3-586E-48AD-A224-A35BDCC63B00}" type="VALUE">
                  <a:rPr lang="en-US" sz="1000"/>
                  <a:pPr>
                    <a:defRPr sz="900" b="0"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1597001515525923E-3"/>
              <c:y val="1.3447069116360455E-2"/>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4C0675E3-586E-48AD-A224-A35BDCC63B00}" type="VALUE">
                  <a:rPr lang="en-US" sz="1000"/>
                  <a:pPr>
                    <a:defRPr sz="900" b="0"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1597001515525923E-3"/>
              <c:y val="1.3447069116360455E-2"/>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4C0675E3-586E-48AD-A224-A35BDCC63B00}" type="VALUE">
                  <a:rPr lang="en-US" sz="1000"/>
                  <a:pPr>
                    <a:defRPr/>
                  </a:pPr>
                  <a:t>[VALUE]</a:t>
                </a:fld>
                <a:endParaRPr lang="en-NG"/>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15:dlblFieldTable/>
              <c15:showDataLabelsRange val="0"/>
            </c:ext>
          </c:extLst>
        </c:dLbl>
      </c:pivotFmt>
    </c:pivotFmts>
    <c:plotArea>
      <c:layout/>
      <c:barChart>
        <c:barDir val="col"/>
        <c:grouping val="clustered"/>
        <c:varyColors val="0"/>
        <c:ser>
          <c:idx val="0"/>
          <c:order val="0"/>
          <c:tx>
            <c:strRef>
              <c:f>'PIVOT TABLES'!$A$2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EF3-4AC7-860C-4F331505A548}"/>
              </c:ext>
            </c:extLst>
          </c:dPt>
          <c:dLbls>
            <c:dLbl>
              <c:idx val="0"/>
              <c:layout>
                <c:manualLayout>
                  <c:x val="-8.1597001515525923E-3"/>
                  <c:y val="1.3447069116360455E-2"/>
                </c:manualLayout>
              </c:layout>
              <c:tx>
                <c:rich>
                  <a:bodyPr/>
                  <a:lstStyle/>
                  <a:p>
                    <a:fld id="{4C0675E3-586E-48AD-A224-A35BDCC63B00}" type="VALUE">
                      <a:rPr lang="en-US" sz="1000"/>
                      <a:pPr/>
                      <a:t>[VALUE]</a:t>
                    </a:fld>
                    <a:endParaRPr lang="en-NG"/>
                  </a:p>
                </c:rich>
              </c:tx>
              <c:dLblPos val="outEnd"/>
              <c:showLegendKey val="0"/>
              <c:showVal val="1"/>
              <c:showCatName val="0"/>
              <c:showSerName val="0"/>
              <c:showPercent val="0"/>
              <c:showBubbleSize val="0"/>
              <c:extLst>
                <c:ext xmlns:c15="http://schemas.microsoft.com/office/drawing/2012/chart" uri="{CE6537A1-D6FC-4f65-9D91-7224C49458BB}">
                  <c15:layout>
                    <c:manualLayout>
                      <c:w val="0.71734084478072024"/>
                      <c:h val="0.32000437445319335"/>
                    </c:manualLayout>
                  </c15:layout>
                  <c15:dlblFieldTable/>
                  <c15:showDataLabelsRange val="0"/>
                </c:ext>
                <c:ext xmlns:c16="http://schemas.microsoft.com/office/drawing/2014/chart" uri="{C3380CC4-5D6E-409C-BE32-E72D297353CC}">
                  <c16:uniqueId val="{00000001-2EF3-4AC7-860C-4F331505A548}"/>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c:f>
              <c:strCache>
                <c:ptCount val="1"/>
                <c:pt idx="0">
                  <c:v>Total</c:v>
                </c:pt>
              </c:strCache>
            </c:strRef>
          </c:cat>
          <c:val>
            <c:numRef>
              <c:f>'PIVOT TABLES'!$A$3</c:f>
              <c:numCache>
                <c:formatCode>"₦"#,##0.00</c:formatCode>
                <c:ptCount val="1"/>
                <c:pt idx="0">
                  <c:v>302680445</c:v>
                </c:pt>
              </c:numCache>
            </c:numRef>
          </c:val>
          <c:extLst>
            <c:ext xmlns:c16="http://schemas.microsoft.com/office/drawing/2014/chart" uri="{C3380CC4-5D6E-409C-BE32-E72D297353CC}">
              <c16:uniqueId val="{00000002-2EF3-4AC7-860C-4F331505A548}"/>
            </c:ext>
          </c:extLst>
        </c:ser>
        <c:dLbls>
          <c:dLblPos val="outEnd"/>
          <c:showLegendKey val="0"/>
          <c:showVal val="1"/>
          <c:showCatName val="0"/>
          <c:showSerName val="0"/>
          <c:showPercent val="0"/>
          <c:showBubbleSize val="0"/>
        </c:dLbls>
        <c:gapWidth val="219"/>
        <c:overlap val="-27"/>
        <c:axId val="572196304"/>
        <c:axId val="572203984"/>
      </c:barChart>
      <c:catAx>
        <c:axId val="572196304"/>
        <c:scaling>
          <c:orientation val="minMax"/>
        </c:scaling>
        <c:delete val="1"/>
        <c:axPos val="b"/>
        <c:numFmt formatCode="General" sourceLinked="1"/>
        <c:majorTickMark val="none"/>
        <c:minorTickMark val="none"/>
        <c:tickLblPos val="nextTo"/>
        <c:crossAx val="572203984"/>
        <c:crosses val="autoZero"/>
        <c:auto val="1"/>
        <c:lblAlgn val="ctr"/>
        <c:lblOffset val="100"/>
        <c:noMultiLvlLbl val="0"/>
      </c:catAx>
      <c:valAx>
        <c:axId val="57220398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721963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9900"/>
    </a:solidFill>
    <a:ln w="12700" cap="flat" cmpd="sng" algn="ctr">
      <a:solidFill>
        <a:schemeClr val="bg1"/>
      </a:solidFill>
      <a:round/>
    </a:ln>
    <a:effectLst/>
  </c:spPr>
  <c:txPr>
    <a:bodyPr anchor="t" anchorCtr="0"/>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TABLES!PivotTable2</c:name>
    <c:fmtId val="1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000" b="1"/>
              <a:t>MAX.</a:t>
            </a:r>
            <a:r>
              <a:rPr lang="en-US" sz="1000" b="1" baseline="0"/>
              <a:t> </a:t>
            </a:r>
            <a:r>
              <a:rPr lang="en-US" sz="1000" b="1"/>
              <a:t>SALES AMT</a:t>
            </a:r>
          </a:p>
        </c:rich>
      </c:tx>
      <c:layout>
        <c:manualLayout>
          <c:xMode val="edge"/>
          <c:yMode val="edge"/>
          <c:x val="0.20303648598287005"/>
          <c:y val="6.2015503875968991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Lst>
        </c:dLbl>
      </c:pivotFmt>
    </c:pivotFmts>
    <c:plotArea>
      <c:layout/>
      <c:barChart>
        <c:barDir val="col"/>
        <c:grouping val="clustered"/>
        <c:varyColors val="0"/>
        <c:ser>
          <c:idx val="0"/>
          <c:order val="0"/>
          <c:tx>
            <c:strRef>
              <c:f>'PIVOT TABLES'!$A$8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775F-45A1-A7BE-1E49968C3BC2}"/>
              </c:ext>
            </c:extLst>
          </c:dPt>
          <c:dLbls>
            <c:dLbl>
              <c:idx val="0"/>
              <c:layout>
                <c:manualLayout>
                  <c:x val="4.6297154032216563E-2"/>
                  <c:y val="-0.15653033990976636"/>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936981951330158"/>
                      <c:h val="0.23003601294024292"/>
                    </c:manualLayout>
                  </c15:layout>
                </c:ext>
                <c:ext xmlns:c16="http://schemas.microsoft.com/office/drawing/2014/chart" uri="{C3380CC4-5D6E-409C-BE32-E72D297353CC}">
                  <c16:uniqueId val="{00000000-775F-45A1-A7BE-1E49968C3BC2}"/>
                </c:ext>
              </c:extLst>
            </c:dLbl>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c:f>
              <c:strCache>
                <c:ptCount val="1"/>
                <c:pt idx="0">
                  <c:v>Total</c:v>
                </c:pt>
              </c:strCache>
            </c:strRef>
          </c:cat>
          <c:val>
            <c:numRef>
              <c:f>'PIVOT TABLES'!$A$9</c:f>
              <c:numCache>
                <c:formatCode>"₦"#,##0.00</c:formatCode>
                <c:ptCount val="1"/>
                <c:pt idx="0">
                  <c:v>50000000</c:v>
                </c:pt>
              </c:numCache>
            </c:numRef>
          </c:val>
          <c:extLst>
            <c:ext xmlns:c16="http://schemas.microsoft.com/office/drawing/2014/chart" uri="{C3380CC4-5D6E-409C-BE32-E72D297353CC}">
              <c16:uniqueId val="{00000001-775F-45A1-A7BE-1E49968C3BC2}"/>
            </c:ext>
          </c:extLst>
        </c:ser>
        <c:dLbls>
          <c:dLblPos val="outEnd"/>
          <c:showLegendKey val="0"/>
          <c:showVal val="1"/>
          <c:showCatName val="0"/>
          <c:showSerName val="0"/>
          <c:showPercent val="0"/>
          <c:showBubbleSize val="0"/>
        </c:dLbls>
        <c:gapWidth val="219"/>
        <c:overlap val="-27"/>
        <c:axId val="565508144"/>
        <c:axId val="565509584"/>
      </c:barChart>
      <c:catAx>
        <c:axId val="56550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509584"/>
        <c:crosses val="autoZero"/>
        <c:auto val="1"/>
        <c:lblAlgn val="ctr"/>
        <c:lblOffset val="100"/>
        <c:noMultiLvlLbl val="0"/>
      </c:catAx>
      <c:valAx>
        <c:axId val="56550958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6550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12700" cap="flat" cmpd="sng" algn="ctr">
      <a:solidFill>
        <a:schemeClr val="bg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MIN.</a:t>
            </a:r>
            <a:r>
              <a:rPr lang="en-US" sz="1000" baseline="0"/>
              <a:t> </a:t>
            </a:r>
            <a:r>
              <a:rPr lang="en-US" sz="1000"/>
              <a:t>SALES AMT</a:t>
            </a:r>
          </a:p>
        </c:rich>
      </c:tx>
      <c:layout>
        <c:manualLayout>
          <c:xMode val="edge"/>
          <c:yMode val="edge"/>
          <c:x val="0.182387266107865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Lst>
        </c:dLbl>
      </c:pivotFmt>
    </c:pivotFmts>
    <c:plotArea>
      <c:layout>
        <c:manualLayout>
          <c:layoutTarget val="inner"/>
          <c:xMode val="edge"/>
          <c:yMode val="edge"/>
          <c:x val="9.4623655913978491E-2"/>
          <c:y val="0.8419624470018171"/>
          <c:w val="0.90222222222222226"/>
          <c:h val="2.0585704463392443E-5"/>
        </c:manualLayout>
      </c:layout>
      <c:barChart>
        <c:barDir val="col"/>
        <c:grouping val="clustered"/>
        <c:varyColors val="0"/>
        <c:ser>
          <c:idx val="0"/>
          <c:order val="0"/>
          <c:tx>
            <c:strRef>
              <c:f>'PIVOT TABLES'!$A$5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B75-45BC-A596-0BF8AE7C8FB0}"/>
              </c:ext>
            </c:extLst>
          </c:dPt>
          <c:dLbls>
            <c:dLbl>
              <c:idx val="0"/>
              <c:layout>
                <c:manualLayout>
                  <c:x val="-6.9106067623899953E-2"/>
                  <c:y val="0.2337061713439666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7299401300327654"/>
                      <c:h val="0.46162729658792651"/>
                    </c:manualLayout>
                  </c15:layout>
                </c:ext>
                <c:ext xmlns:c16="http://schemas.microsoft.com/office/drawing/2014/chart" uri="{C3380CC4-5D6E-409C-BE32-E72D297353CC}">
                  <c16:uniqueId val="{00000000-8B75-45BC-A596-0BF8AE7C8FB0}"/>
                </c:ext>
              </c:extLst>
            </c:dLbl>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c:f>
              <c:strCache>
                <c:ptCount val="1"/>
                <c:pt idx="0">
                  <c:v>Total</c:v>
                </c:pt>
              </c:strCache>
            </c:strRef>
          </c:cat>
          <c:val>
            <c:numRef>
              <c:f>'PIVOT TABLES'!$A$6</c:f>
              <c:numCache>
                <c:formatCode>"₦"#,##0.00</c:formatCode>
                <c:ptCount val="1"/>
                <c:pt idx="0">
                  <c:v>59500</c:v>
                </c:pt>
              </c:numCache>
            </c:numRef>
          </c:val>
          <c:extLst>
            <c:ext xmlns:c16="http://schemas.microsoft.com/office/drawing/2014/chart" uri="{C3380CC4-5D6E-409C-BE32-E72D297353CC}">
              <c16:uniqueId val="{00000001-8B75-45BC-A596-0BF8AE7C8FB0}"/>
            </c:ext>
          </c:extLst>
        </c:ser>
        <c:dLbls>
          <c:dLblPos val="outEnd"/>
          <c:showLegendKey val="0"/>
          <c:showVal val="1"/>
          <c:showCatName val="0"/>
          <c:showSerName val="0"/>
          <c:showPercent val="0"/>
          <c:showBubbleSize val="0"/>
        </c:dLbls>
        <c:gapWidth val="219"/>
        <c:overlap val="-27"/>
        <c:axId val="565515344"/>
        <c:axId val="565533104"/>
      </c:barChart>
      <c:catAx>
        <c:axId val="565515344"/>
        <c:scaling>
          <c:orientation val="minMax"/>
        </c:scaling>
        <c:delete val="1"/>
        <c:axPos val="b"/>
        <c:numFmt formatCode="General" sourceLinked="1"/>
        <c:majorTickMark val="none"/>
        <c:minorTickMark val="none"/>
        <c:tickLblPos val="nextTo"/>
        <c:crossAx val="565533104"/>
        <c:crosses val="autoZero"/>
        <c:auto val="1"/>
        <c:lblAlgn val="ctr"/>
        <c:lblOffset val="100"/>
        <c:noMultiLvlLbl val="0"/>
      </c:catAx>
      <c:valAx>
        <c:axId val="56553310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655153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12700" cap="flat" cmpd="sng" algn="ctr">
      <a:solidFill>
        <a:schemeClr val="bg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TABLES!PivotTable4</c:name>
    <c:fmtId val="1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b="1"/>
              <a:t>AVE. SALES AMT</a:t>
            </a:r>
          </a:p>
        </c:rich>
      </c:tx>
      <c:layout>
        <c:manualLayout>
          <c:xMode val="edge"/>
          <c:yMode val="edge"/>
          <c:x val="0.19010719029368031"/>
          <c:y val="2.767723799799999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544011544011492E-2"/>
              <c:y val="0.11410956609147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544011544011492E-2"/>
              <c:y val="0.11410956609147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1543912783755423E-2"/>
              <c:y val="-7.9848921323858901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543912783755423E-2"/>
              <c:y val="-7.9848921323858901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1543565299741276E-2"/>
              <c:y val="2.0150971524859645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1543565299741276E-2"/>
              <c:y val="2.0150971524859645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1543565299741276E-2"/>
              <c:y val="2.0150971524859645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Lst>
        </c:dLbl>
      </c:pivotFmt>
    </c:pivotFmts>
    <c:plotArea>
      <c:layout/>
      <c:barChart>
        <c:barDir val="col"/>
        <c:grouping val="clustered"/>
        <c:varyColors val="0"/>
        <c:ser>
          <c:idx val="0"/>
          <c:order val="0"/>
          <c:tx>
            <c:strRef>
              <c:f>'PIVOT TABLES'!$A$11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AE7-4B83-B6E3-0C73FF36622D}"/>
              </c:ext>
            </c:extLst>
          </c:dPt>
          <c:dLbls>
            <c:dLbl>
              <c:idx val="0"/>
              <c:layout>
                <c:manualLayout>
                  <c:x val="1.1543565299741276E-2"/>
                  <c:y val="2.0150971524859645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103918828328279"/>
                      <c:h val="0.39800524934383202"/>
                    </c:manualLayout>
                  </c15:layout>
                </c:ext>
                <c:ext xmlns:c16="http://schemas.microsoft.com/office/drawing/2014/chart" uri="{C3380CC4-5D6E-409C-BE32-E72D297353CC}">
                  <c16:uniqueId val="{00000000-8AE7-4B83-B6E3-0C73FF36622D}"/>
                </c:ext>
              </c:extLst>
            </c:dLbl>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c:f>
              <c:strCache>
                <c:ptCount val="1"/>
                <c:pt idx="0">
                  <c:v>Total</c:v>
                </c:pt>
              </c:strCache>
            </c:strRef>
          </c:cat>
          <c:val>
            <c:numRef>
              <c:f>'PIVOT TABLES'!$A$12</c:f>
              <c:numCache>
                <c:formatCode>"₦"#,##0.00</c:formatCode>
                <c:ptCount val="1"/>
                <c:pt idx="0">
                  <c:v>3026804.45</c:v>
                </c:pt>
              </c:numCache>
            </c:numRef>
          </c:val>
          <c:extLst>
            <c:ext xmlns:c16="http://schemas.microsoft.com/office/drawing/2014/chart" uri="{C3380CC4-5D6E-409C-BE32-E72D297353CC}">
              <c16:uniqueId val="{00000001-8AE7-4B83-B6E3-0C73FF36622D}"/>
            </c:ext>
          </c:extLst>
        </c:ser>
        <c:dLbls>
          <c:dLblPos val="outEnd"/>
          <c:showLegendKey val="0"/>
          <c:showVal val="1"/>
          <c:showCatName val="0"/>
          <c:showSerName val="0"/>
          <c:showPercent val="0"/>
          <c:showBubbleSize val="0"/>
        </c:dLbls>
        <c:gapWidth val="219"/>
        <c:overlap val="-27"/>
        <c:axId val="565531664"/>
        <c:axId val="565508144"/>
      </c:barChart>
      <c:catAx>
        <c:axId val="565531664"/>
        <c:scaling>
          <c:orientation val="minMax"/>
        </c:scaling>
        <c:delete val="1"/>
        <c:axPos val="b"/>
        <c:numFmt formatCode="General" sourceLinked="1"/>
        <c:majorTickMark val="none"/>
        <c:minorTickMark val="none"/>
        <c:tickLblPos val="nextTo"/>
        <c:crossAx val="565508144"/>
        <c:crosses val="autoZero"/>
        <c:auto val="1"/>
        <c:lblAlgn val="ctr"/>
        <c:lblOffset val="100"/>
        <c:noMultiLvlLbl val="0"/>
      </c:catAx>
      <c:valAx>
        <c:axId val="56550814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6553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12700" cap="flat" cmpd="sng" algn="ctr">
      <a:solidFill>
        <a:schemeClr val="bg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0"/>
              <a:t>SUMMARY OF SALES BY PRODUCT COUNT</a:t>
            </a:r>
          </a:p>
        </c:rich>
      </c:tx>
      <c:layout>
        <c:manualLayout>
          <c:xMode val="edge"/>
          <c:yMode val="edge"/>
          <c:x val="0.10731669219499058"/>
          <c:y val="2.5641038583201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38549703838721"/>
          <c:y val="0.16504982520338482"/>
          <c:w val="0.50820882496162212"/>
          <c:h val="0.66290412868515913"/>
        </c:manualLayout>
      </c:layout>
      <c:barChart>
        <c:barDir val="bar"/>
        <c:grouping val="clustered"/>
        <c:varyColors val="0"/>
        <c:ser>
          <c:idx val="0"/>
          <c:order val="0"/>
          <c:tx>
            <c:strRef>
              <c:f>'PIVOT TABLES'!$E$14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TABLES'!$D$15:$D$22</c:f>
              <c:strCache>
                <c:ptCount val="7"/>
                <c:pt idx="0">
                  <c:v>Phone X12</c:v>
                </c:pt>
                <c:pt idx="1">
                  <c:v>Speaker S10</c:v>
                </c:pt>
                <c:pt idx="2">
                  <c:v>Camera C100</c:v>
                </c:pt>
                <c:pt idx="3">
                  <c:v>Monitor M24</c:v>
                </c:pt>
                <c:pt idx="4">
                  <c:v>Laptop A15</c:v>
                </c:pt>
                <c:pt idx="5">
                  <c:v>Tv 43Q</c:v>
                </c:pt>
                <c:pt idx="6">
                  <c:v>Tablet T8</c:v>
                </c:pt>
              </c:strCache>
            </c:strRef>
          </c:cat>
          <c:val>
            <c:numRef>
              <c:f>'PIVOT TABLES'!$E$15:$E$22</c:f>
              <c:numCache>
                <c:formatCode>0.0</c:formatCode>
                <c:ptCount val="7"/>
                <c:pt idx="0">
                  <c:v>82</c:v>
                </c:pt>
                <c:pt idx="1">
                  <c:v>105</c:v>
                </c:pt>
                <c:pt idx="2">
                  <c:v>146</c:v>
                </c:pt>
                <c:pt idx="3">
                  <c:v>176</c:v>
                </c:pt>
                <c:pt idx="4">
                  <c:v>191</c:v>
                </c:pt>
                <c:pt idx="5">
                  <c:v>215</c:v>
                </c:pt>
                <c:pt idx="6">
                  <c:v>226</c:v>
                </c:pt>
              </c:numCache>
            </c:numRef>
          </c:val>
          <c:extLst>
            <c:ext xmlns:c16="http://schemas.microsoft.com/office/drawing/2014/chart" uri="{C3380CC4-5D6E-409C-BE32-E72D297353CC}">
              <c16:uniqueId val="{00000000-C3AB-4BE8-9E71-11CD6F22855F}"/>
            </c:ext>
          </c:extLst>
        </c:ser>
        <c:dLbls>
          <c:dLblPos val="outEnd"/>
          <c:showLegendKey val="0"/>
          <c:showVal val="1"/>
          <c:showCatName val="0"/>
          <c:showSerName val="0"/>
          <c:showPercent val="0"/>
          <c:showBubbleSize val="0"/>
        </c:dLbls>
        <c:gapWidth val="219"/>
        <c:axId val="565479344"/>
        <c:axId val="565493744"/>
      </c:barChart>
      <c:catAx>
        <c:axId val="56547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493744"/>
        <c:crosses val="autoZero"/>
        <c:auto val="1"/>
        <c:lblAlgn val="ctr"/>
        <c:lblOffset val="100"/>
        <c:noMultiLvlLbl val="0"/>
      </c:catAx>
      <c:valAx>
        <c:axId val="565493744"/>
        <c:scaling>
          <c:orientation val="minMax"/>
        </c:scaling>
        <c:delete val="1"/>
        <c:axPos val="b"/>
        <c:numFmt formatCode="0.0" sourceLinked="1"/>
        <c:majorTickMark val="none"/>
        <c:minorTickMark val="none"/>
        <c:tickLblPos val="nextTo"/>
        <c:crossAx val="56547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t>SUMMARY OF SALES BY AMOUNT</a:t>
            </a:r>
          </a:p>
        </c:rich>
      </c:tx>
      <c:layout>
        <c:manualLayout>
          <c:xMode val="edge"/>
          <c:yMode val="edge"/>
          <c:x val="0.11958500895542563"/>
          <c:y val="8.414243770478184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35034088231237"/>
          <c:y val="0.22275975251421187"/>
          <c:w val="0.63450407689338884"/>
          <c:h val="0.59551299970242966"/>
        </c:manualLayout>
      </c:layout>
      <c:barChart>
        <c:barDir val="bar"/>
        <c:grouping val="clustered"/>
        <c:varyColors val="0"/>
        <c:ser>
          <c:idx val="0"/>
          <c:order val="0"/>
          <c:tx>
            <c:strRef>
              <c:f>'PIVOT TABLES'!$E$2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TABLES'!$D$3:$D$10</c:f>
              <c:strCache>
                <c:ptCount val="7"/>
                <c:pt idx="0">
                  <c:v>Speaker S10</c:v>
                </c:pt>
                <c:pt idx="1">
                  <c:v>Phone X12</c:v>
                </c:pt>
                <c:pt idx="2">
                  <c:v>Monitor M24</c:v>
                </c:pt>
                <c:pt idx="3">
                  <c:v>Camera C100</c:v>
                </c:pt>
                <c:pt idx="4">
                  <c:v>Tablet T8</c:v>
                </c:pt>
                <c:pt idx="5">
                  <c:v>Tv 43Q</c:v>
                </c:pt>
                <c:pt idx="6">
                  <c:v>Laptop A15</c:v>
                </c:pt>
              </c:strCache>
            </c:strRef>
          </c:cat>
          <c:val>
            <c:numRef>
              <c:f>'PIVOT TABLES'!$E$3:$E$10</c:f>
              <c:numCache>
                <c:formatCode>0.00%</c:formatCode>
                <c:ptCount val="7"/>
                <c:pt idx="0">
                  <c:v>2.9584438466118947E-2</c:v>
                </c:pt>
                <c:pt idx="1">
                  <c:v>4.7347336891882794E-2</c:v>
                </c:pt>
                <c:pt idx="2">
                  <c:v>7.2288122214172107E-2</c:v>
                </c:pt>
                <c:pt idx="3">
                  <c:v>8.4412456840414651E-2</c:v>
                </c:pt>
                <c:pt idx="4">
                  <c:v>0.11199930672759517</c:v>
                </c:pt>
                <c:pt idx="5">
                  <c:v>0.21041828453767472</c:v>
                </c:pt>
                <c:pt idx="6">
                  <c:v>0.44395005432214163</c:v>
                </c:pt>
              </c:numCache>
            </c:numRef>
          </c:val>
          <c:extLst>
            <c:ext xmlns:c16="http://schemas.microsoft.com/office/drawing/2014/chart" uri="{C3380CC4-5D6E-409C-BE32-E72D297353CC}">
              <c16:uniqueId val="{00000000-2AED-4923-BD56-F9BCAAD5FC9F}"/>
            </c:ext>
          </c:extLst>
        </c:ser>
        <c:dLbls>
          <c:dLblPos val="outEnd"/>
          <c:showLegendKey val="0"/>
          <c:showVal val="1"/>
          <c:showCatName val="0"/>
          <c:showSerName val="0"/>
          <c:showPercent val="0"/>
          <c:showBubbleSize val="0"/>
        </c:dLbls>
        <c:gapWidth val="219"/>
        <c:axId val="1250349823"/>
        <c:axId val="1250318143"/>
      </c:barChart>
      <c:catAx>
        <c:axId val="125034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50318143"/>
        <c:crosses val="autoZero"/>
        <c:auto val="1"/>
        <c:lblAlgn val="ctr"/>
        <c:lblOffset val="100"/>
        <c:noMultiLvlLbl val="0"/>
      </c:catAx>
      <c:valAx>
        <c:axId val="1250318143"/>
        <c:scaling>
          <c:orientation val="minMax"/>
        </c:scaling>
        <c:delete val="1"/>
        <c:axPos val="b"/>
        <c:numFmt formatCode="0.00%" sourceLinked="1"/>
        <c:majorTickMark val="none"/>
        <c:minorTickMark val="none"/>
        <c:tickLblPos val="nextTo"/>
        <c:crossAx val="125034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0"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ysClr val="windowText" lastClr="000000">
                    <a:lumMod val="65000"/>
                    <a:lumOff val="35000"/>
                  </a:sysClr>
                </a:solidFill>
              </a:rPr>
              <a:t>TOTAL SALE IN PERCENTAGE FOR EACH PRODUCT </a:t>
            </a:r>
          </a:p>
        </c:rich>
      </c:tx>
      <c:layout>
        <c:manualLayout>
          <c:xMode val="edge"/>
          <c:yMode val="edge"/>
          <c:x val="7.7698154180238871E-2"/>
          <c:y val="3.9801015813852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TABLES'!$E$49</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TABLES'!$D$50:$D$57</c:f>
              <c:strCache>
                <c:ptCount val="7"/>
                <c:pt idx="0">
                  <c:v>Speaker S10</c:v>
                </c:pt>
                <c:pt idx="1">
                  <c:v>Phone X12</c:v>
                </c:pt>
                <c:pt idx="2">
                  <c:v>Monitor M24</c:v>
                </c:pt>
                <c:pt idx="3">
                  <c:v>Camera C100</c:v>
                </c:pt>
                <c:pt idx="4">
                  <c:v>Tablet T8</c:v>
                </c:pt>
                <c:pt idx="5">
                  <c:v>Tv 43Q</c:v>
                </c:pt>
                <c:pt idx="6">
                  <c:v>Laptop A15</c:v>
                </c:pt>
              </c:strCache>
            </c:strRef>
          </c:cat>
          <c:val>
            <c:numRef>
              <c:f>'PIVOT TABLES'!$E$50:$E$57</c:f>
              <c:numCache>
                <c:formatCode>0.00%</c:formatCode>
                <c:ptCount val="7"/>
                <c:pt idx="0">
                  <c:v>2.9584438466118947E-2</c:v>
                </c:pt>
                <c:pt idx="1">
                  <c:v>4.7347336891882794E-2</c:v>
                </c:pt>
                <c:pt idx="2">
                  <c:v>7.2288122214172107E-2</c:v>
                </c:pt>
                <c:pt idx="3">
                  <c:v>8.4412456840414651E-2</c:v>
                </c:pt>
                <c:pt idx="4">
                  <c:v>0.11199930672759517</c:v>
                </c:pt>
                <c:pt idx="5">
                  <c:v>0.21041828453767472</c:v>
                </c:pt>
                <c:pt idx="6">
                  <c:v>0.44395005432214163</c:v>
                </c:pt>
              </c:numCache>
            </c:numRef>
          </c:val>
          <c:extLst>
            <c:ext xmlns:c16="http://schemas.microsoft.com/office/drawing/2014/chart" uri="{C3380CC4-5D6E-409C-BE32-E72D297353CC}">
              <c16:uniqueId val="{00000000-AA33-4531-81A8-7C0409C2E191}"/>
            </c:ext>
          </c:extLst>
        </c:ser>
        <c:dLbls>
          <c:showLegendKey val="0"/>
          <c:showVal val="0"/>
          <c:showCatName val="0"/>
          <c:showSerName val="0"/>
          <c:showPercent val="0"/>
          <c:showBubbleSize val="0"/>
        </c:dLbls>
        <c:gapWidth val="219"/>
        <c:overlap val="-27"/>
        <c:axId val="1246112255"/>
        <c:axId val="1246094015"/>
      </c:barChart>
      <c:catAx>
        <c:axId val="12461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46094015"/>
        <c:crosses val="autoZero"/>
        <c:auto val="1"/>
        <c:lblAlgn val="ctr"/>
        <c:lblOffset val="100"/>
        <c:noMultiLvlLbl val="0"/>
      </c:catAx>
      <c:valAx>
        <c:axId val="1246094015"/>
        <c:scaling>
          <c:orientation val="minMax"/>
        </c:scaling>
        <c:delete val="1"/>
        <c:axPos val="l"/>
        <c:numFmt formatCode="0.00%" sourceLinked="1"/>
        <c:majorTickMark val="none"/>
        <c:minorTickMark val="none"/>
        <c:tickLblPos val="nextTo"/>
        <c:crossAx val="12461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TOTAL SALES BY</a:t>
            </a:r>
            <a:r>
              <a:rPr lang="en-US" sz="1000" b="1" baseline="0"/>
              <a:t> EACH SALES PERSON IN NAIRA</a:t>
            </a:r>
            <a:endParaRPr lang="en-US" sz="1000" b="1"/>
          </a:p>
        </c:rich>
      </c:tx>
      <c:layout>
        <c:manualLayout>
          <c:xMode val="edge"/>
          <c:yMode val="edge"/>
          <c:x val="0.26039998148846"/>
          <c:y val="3.4063320209973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6716072255678"/>
          <c:y val="0.15393974190726159"/>
          <c:w val="0.71269839332098994"/>
          <c:h val="0.79747265966754155"/>
        </c:manualLayout>
      </c:layout>
      <c:barChart>
        <c:barDir val="bar"/>
        <c:grouping val="clustered"/>
        <c:varyColors val="0"/>
        <c:ser>
          <c:idx val="0"/>
          <c:order val="0"/>
          <c:tx>
            <c:strRef>
              <c:f>'PIVOT TABLES'!$F$27</c:f>
              <c:strCache>
                <c:ptCount val="1"/>
                <c:pt idx="0">
                  <c:v>Total</c:v>
                </c:pt>
              </c:strCache>
            </c:strRef>
          </c:tx>
          <c:spPr>
            <a:solidFill>
              <a:srgbClr val="92D05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TABLES'!$E$28:$E$38</c:f>
              <c:strCache>
                <c:ptCount val="10"/>
                <c:pt idx="0">
                  <c:v>Aba Joel</c:v>
                </c:pt>
                <c:pt idx="1">
                  <c:v>Praise Odunayo</c:v>
                </c:pt>
                <c:pt idx="2">
                  <c:v>Job Austin</c:v>
                </c:pt>
                <c:pt idx="3">
                  <c:v>Aisha Bello</c:v>
                </c:pt>
                <c:pt idx="4">
                  <c:v>Mary John</c:v>
                </c:pt>
                <c:pt idx="5">
                  <c:v>Ifeanyi Okafor</c:v>
                </c:pt>
                <c:pt idx="6">
                  <c:v>Chinedu Nwosu</c:v>
                </c:pt>
                <c:pt idx="7">
                  <c:v>Grace Amos</c:v>
                </c:pt>
                <c:pt idx="8">
                  <c:v>Fola Balogun</c:v>
                </c:pt>
                <c:pt idx="9">
                  <c:v>Peter Obi</c:v>
                </c:pt>
              </c:strCache>
            </c:strRef>
          </c:cat>
          <c:val>
            <c:numRef>
              <c:f>'PIVOT TABLES'!$F$28:$F$38</c:f>
              <c:numCache>
                <c:formatCode>"₦"#,##0.00</c:formatCode>
                <c:ptCount val="10"/>
                <c:pt idx="0">
                  <c:v>650000</c:v>
                </c:pt>
                <c:pt idx="1">
                  <c:v>2850000</c:v>
                </c:pt>
                <c:pt idx="2">
                  <c:v>5250000</c:v>
                </c:pt>
                <c:pt idx="3">
                  <c:v>18690000</c:v>
                </c:pt>
                <c:pt idx="4">
                  <c:v>20919960</c:v>
                </c:pt>
                <c:pt idx="5">
                  <c:v>28986113</c:v>
                </c:pt>
                <c:pt idx="6">
                  <c:v>36226885</c:v>
                </c:pt>
                <c:pt idx="7">
                  <c:v>42610000</c:v>
                </c:pt>
                <c:pt idx="8">
                  <c:v>58707487</c:v>
                </c:pt>
                <c:pt idx="9">
                  <c:v>87790000</c:v>
                </c:pt>
              </c:numCache>
            </c:numRef>
          </c:val>
          <c:extLst>
            <c:ext xmlns:c16="http://schemas.microsoft.com/office/drawing/2014/chart" uri="{C3380CC4-5D6E-409C-BE32-E72D297353CC}">
              <c16:uniqueId val="{00000000-5C09-4B7F-BCE3-092519483D0B}"/>
            </c:ext>
          </c:extLst>
        </c:ser>
        <c:dLbls>
          <c:dLblPos val="outEnd"/>
          <c:showLegendKey val="0"/>
          <c:showVal val="1"/>
          <c:showCatName val="0"/>
          <c:showSerName val="0"/>
          <c:showPercent val="0"/>
          <c:showBubbleSize val="0"/>
        </c:dLbls>
        <c:gapWidth val="219"/>
        <c:axId val="174779712"/>
        <c:axId val="174767232"/>
      </c:barChart>
      <c:catAx>
        <c:axId val="174779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767232"/>
        <c:crosses val="autoZero"/>
        <c:auto val="1"/>
        <c:lblAlgn val="ctr"/>
        <c:lblOffset val="100"/>
        <c:noMultiLvlLbl val="0"/>
      </c:catAx>
      <c:valAx>
        <c:axId val="174767232"/>
        <c:scaling>
          <c:orientation val="minMax"/>
        </c:scaling>
        <c:delete val="1"/>
        <c:axPos val="b"/>
        <c:numFmt formatCode="&quot;₦&quot;#,##0.00" sourceLinked="1"/>
        <c:majorTickMark val="out"/>
        <c:minorTickMark val="none"/>
        <c:tickLblPos val="nextTo"/>
        <c:crossAx val="17477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TABLES!PivotTable10</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COUNT BY SALES REP.</a:t>
            </a:r>
            <a:r>
              <a:rPr lang="en-US" sz="900" b="1" baseline="0"/>
              <a:t> </a:t>
            </a:r>
            <a:r>
              <a:rPr lang="en-US" sz="900" b="1"/>
              <a:t>PER REGION</a:t>
            </a:r>
          </a:p>
        </c:rich>
      </c:tx>
      <c:layout>
        <c:manualLayout>
          <c:xMode val="edge"/>
          <c:yMode val="edge"/>
          <c:x val="0.20251814625503645"/>
          <c:y val="8.9154631072185548E-4"/>
        </c:manualLayout>
      </c:layout>
      <c:overlay val="0"/>
      <c:spPr>
        <a:noFill/>
        <a:ln w="0">
          <a:solidFill>
            <a:srgbClr val="92D05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6218358265136E-2"/>
          <c:y val="5.7971014492753624E-2"/>
          <c:w val="0.84269065896543494"/>
          <c:h val="0.62230410921954915"/>
        </c:manualLayout>
      </c:layout>
      <c:barChart>
        <c:barDir val="col"/>
        <c:grouping val="clustered"/>
        <c:varyColors val="0"/>
        <c:ser>
          <c:idx val="0"/>
          <c:order val="0"/>
          <c:tx>
            <c:strRef>
              <c:f>'PIVOT TABLES'!$J$27:$J$28</c:f>
              <c:strCache>
                <c:ptCount val="1"/>
                <c:pt idx="0">
                  <c:v>East</c:v>
                </c:pt>
              </c:strCache>
            </c:strRef>
          </c:tx>
          <c:spPr>
            <a:solidFill>
              <a:schemeClr val="accent1"/>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TABLES'!$J$29:$J$39</c:f>
              <c:numCache>
                <c:formatCode>0.0</c:formatCode>
                <c:ptCount val="10"/>
                <c:pt idx="0">
                  <c:v>10</c:v>
                </c:pt>
                <c:pt idx="1">
                  <c:v>21</c:v>
                </c:pt>
                <c:pt idx="2">
                  <c:v>96</c:v>
                </c:pt>
                <c:pt idx="3">
                  <c:v>97</c:v>
                </c:pt>
                <c:pt idx="4">
                  <c:v>89</c:v>
                </c:pt>
                <c:pt idx="5">
                  <c:v>63</c:v>
                </c:pt>
                <c:pt idx="7">
                  <c:v>44</c:v>
                </c:pt>
                <c:pt idx="8">
                  <c:v>10</c:v>
                </c:pt>
              </c:numCache>
            </c:numRef>
          </c:val>
          <c:extLst>
            <c:ext xmlns:c16="http://schemas.microsoft.com/office/drawing/2014/chart" uri="{C3380CC4-5D6E-409C-BE32-E72D297353CC}">
              <c16:uniqueId val="{00000000-CA21-4C54-AD8E-9435D8C632A2}"/>
            </c:ext>
          </c:extLst>
        </c:ser>
        <c:ser>
          <c:idx val="1"/>
          <c:order val="1"/>
          <c:tx>
            <c:strRef>
              <c:f>'PIVOT TABLES'!$K$27:$K$28</c:f>
              <c:strCache>
                <c:ptCount val="1"/>
                <c:pt idx="0">
                  <c:v>North</c:v>
                </c:pt>
              </c:strCache>
            </c:strRef>
          </c:tx>
          <c:spPr>
            <a:solidFill>
              <a:schemeClr val="accent2"/>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TABLES'!$K$29:$K$39</c:f>
              <c:numCache>
                <c:formatCode>0.0</c:formatCode>
                <c:ptCount val="10"/>
                <c:pt idx="1">
                  <c:v>35</c:v>
                </c:pt>
                <c:pt idx="2">
                  <c:v>22</c:v>
                </c:pt>
                <c:pt idx="3">
                  <c:v>27</c:v>
                </c:pt>
                <c:pt idx="4">
                  <c:v>25</c:v>
                </c:pt>
                <c:pt idx="5">
                  <c:v>49</c:v>
                </c:pt>
                <c:pt idx="7">
                  <c:v>30</c:v>
                </c:pt>
                <c:pt idx="8">
                  <c:v>8</c:v>
                </c:pt>
              </c:numCache>
            </c:numRef>
          </c:val>
          <c:extLst>
            <c:ext xmlns:c16="http://schemas.microsoft.com/office/drawing/2014/chart" uri="{C3380CC4-5D6E-409C-BE32-E72D297353CC}">
              <c16:uniqueId val="{00000001-CA21-4C54-AD8E-9435D8C632A2}"/>
            </c:ext>
          </c:extLst>
        </c:ser>
        <c:ser>
          <c:idx val="2"/>
          <c:order val="2"/>
          <c:tx>
            <c:strRef>
              <c:f>'PIVOT TABLES'!$L$27:$L$28</c:f>
              <c:strCache>
                <c:ptCount val="1"/>
                <c:pt idx="0">
                  <c:v>South</c:v>
                </c:pt>
              </c:strCache>
            </c:strRef>
          </c:tx>
          <c:spPr>
            <a:solidFill>
              <a:schemeClr val="accent3"/>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TABLES'!$L$29:$L$39</c:f>
              <c:numCache>
                <c:formatCode>0.0</c:formatCode>
                <c:ptCount val="10"/>
                <c:pt idx="1">
                  <c:v>56</c:v>
                </c:pt>
                <c:pt idx="2">
                  <c:v>48</c:v>
                </c:pt>
                <c:pt idx="3">
                  <c:v>40</c:v>
                </c:pt>
                <c:pt idx="4">
                  <c:v>23</c:v>
                </c:pt>
                <c:pt idx="5">
                  <c:v>20</c:v>
                </c:pt>
                <c:pt idx="6">
                  <c:v>15</c:v>
                </c:pt>
                <c:pt idx="7">
                  <c:v>7</c:v>
                </c:pt>
                <c:pt idx="8">
                  <c:v>64</c:v>
                </c:pt>
                <c:pt idx="9">
                  <c:v>19</c:v>
                </c:pt>
              </c:numCache>
            </c:numRef>
          </c:val>
          <c:extLst>
            <c:ext xmlns:c16="http://schemas.microsoft.com/office/drawing/2014/chart" uri="{C3380CC4-5D6E-409C-BE32-E72D297353CC}">
              <c16:uniqueId val="{00000002-CA21-4C54-AD8E-9435D8C632A2}"/>
            </c:ext>
          </c:extLst>
        </c:ser>
        <c:ser>
          <c:idx val="3"/>
          <c:order val="3"/>
          <c:tx>
            <c:strRef>
              <c:f>'PIVOT TABLES'!$M$27:$M$28</c:f>
              <c:strCache>
                <c:ptCount val="1"/>
                <c:pt idx="0">
                  <c:v>West</c:v>
                </c:pt>
              </c:strCache>
            </c:strRef>
          </c:tx>
          <c:spPr>
            <a:solidFill>
              <a:schemeClr val="accent4"/>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TABLES'!$M$29:$M$39</c:f>
              <c:numCache>
                <c:formatCode>0.0</c:formatCode>
                <c:ptCount val="10"/>
                <c:pt idx="1">
                  <c:v>12</c:v>
                </c:pt>
                <c:pt idx="2">
                  <c:v>58</c:v>
                </c:pt>
                <c:pt idx="3">
                  <c:v>31</c:v>
                </c:pt>
                <c:pt idx="4">
                  <c:v>40</c:v>
                </c:pt>
                <c:pt idx="5">
                  <c:v>19</c:v>
                </c:pt>
                <c:pt idx="7">
                  <c:v>24</c:v>
                </c:pt>
                <c:pt idx="8">
                  <c:v>39</c:v>
                </c:pt>
              </c:numCache>
            </c:numRef>
          </c:val>
          <c:extLst>
            <c:ext xmlns:c16="http://schemas.microsoft.com/office/drawing/2014/chart" uri="{C3380CC4-5D6E-409C-BE32-E72D297353CC}">
              <c16:uniqueId val="{00000003-CA21-4C54-AD8E-9435D8C632A2}"/>
            </c:ext>
          </c:extLst>
        </c:ser>
        <c:dLbls>
          <c:showLegendKey val="0"/>
          <c:showVal val="0"/>
          <c:showCatName val="0"/>
          <c:showSerName val="0"/>
          <c:showPercent val="0"/>
          <c:showBubbleSize val="0"/>
        </c:dLbls>
        <c:gapWidth val="219"/>
        <c:overlap val="-27"/>
        <c:axId val="230153536"/>
        <c:axId val="230177056"/>
      </c:barChart>
      <c:catAx>
        <c:axId val="2301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0177056"/>
        <c:crosses val="autoZero"/>
        <c:auto val="1"/>
        <c:lblAlgn val="ctr"/>
        <c:lblOffset val="100"/>
        <c:noMultiLvlLbl val="0"/>
      </c:catAx>
      <c:valAx>
        <c:axId val="230177056"/>
        <c:scaling>
          <c:orientation val="minMax"/>
        </c:scaling>
        <c:delete val="1"/>
        <c:axPos val="l"/>
        <c:numFmt formatCode="0.0" sourceLinked="1"/>
        <c:majorTickMark val="none"/>
        <c:minorTickMark val="none"/>
        <c:tickLblPos val="nextTo"/>
        <c:crossAx val="230153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'PIVOT TABLES'!$B$41</c:f>
              <c:strCache>
                <c:ptCount val="1"/>
                <c:pt idx="0">
                  <c:v>Sum of AMOUNT_1</c:v>
                </c:pt>
              </c:strCache>
            </c:strRef>
          </c:tx>
          <c:spPr>
            <a:solidFill>
              <a:schemeClr val="accent1"/>
            </a:solidFill>
            <a:ln>
              <a:noFill/>
            </a:ln>
            <a:effectLst/>
          </c:spPr>
          <c:invertIfNegative val="0"/>
          <c:cat>
            <c:strRef>
              <c:f>'PIVOT TABLES'!$A$42:$A$142</c:f>
              <c:strCache>
                <c:ptCount val="10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29-Jun</c:v>
                </c:pt>
                <c:pt idx="17">
                  <c:v>30-Jun</c:v>
                </c:pt>
                <c:pt idx="18">
                  <c:v>01-Jul</c:v>
                </c:pt>
                <c:pt idx="19">
                  <c:v>02-Jul</c:v>
                </c:pt>
                <c:pt idx="20">
                  <c:v>03-Jul</c:v>
                </c:pt>
                <c:pt idx="21">
                  <c:v>04-Jul</c:v>
                </c:pt>
                <c:pt idx="22">
                  <c:v>05-Jul</c:v>
                </c:pt>
                <c:pt idx="23">
                  <c:v>06-Jul</c:v>
                </c:pt>
                <c:pt idx="24">
                  <c:v>07-Jul</c:v>
                </c:pt>
                <c:pt idx="25">
                  <c:v>08-Jul</c:v>
                </c:pt>
                <c:pt idx="26">
                  <c:v>09-Jul</c:v>
                </c:pt>
                <c:pt idx="27">
                  <c:v>10-Jul</c:v>
                </c:pt>
                <c:pt idx="28">
                  <c:v>11-Jul</c:v>
                </c:pt>
                <c:pt idx="29">
                  <c:v>12-Jul</c:v>
                </c:pt>
                <c:pt idx="30">
                  <c:v>13-Jul</c:v>
                </c:pt>
                <c:pt idx="31">
                  <c:v>14-Jul</c:v>
                </c:pt>
                <c:pt idx="32">
                  <c:v>15-Jul</c:v>
                </c:pt>
                <c:pt idx="33">
                  <c:v>16-Jul</c:v>
                </c:pt>
                <c:pt idx="34">
                  <c:v>17-Jul</c:v>
                </c:pt>
                <c:pt idx="35">
                  <c:v>18-Jul</c:v>
                </c:pt>
                <c:pt idx="36">
                  <c:v>19-Jul</c:v>
                </c:pt>
                <c:pt idx="37">
                  <c:v>20-Jul</c:v>
                </c:pt>
                <c:pt idx="38">
                  <c:v>21-Jul</c:v>
                </c:pt>
                <c:pt idx="39">
                  <c:v>22-Jul</c:v>
                </c:pt>
                <c:pt idx="40">
                  <c:v>23-Jul</c:v>
                </c:pt>
                <c:pt idx="41">
                  <c:v>24-Jul</c:v>
                </c:pt>
                <c:pt idx="42">
                  <c:v>25-Jul</c:v>
                </c:pt>
                <c:pt idx="43">
                  <c:v>26-Jul</c:v>
                </c:pt>
                <c:pt idx="44">
                  <c:v>27-Jul</c:v>
                </c:pt>
                <c:pt idx="45">
                  <c:v>28-Jul</c:v>
                </c:pt>
                <c:pt idx="46">
                  <c:v>29-Jul</c:v>
                </c:pt>
                <c:pt idx="47">
                  <c:v>30-Jul</c:v>
                </c:pt>
                <c:pt idx="48">
                  <c:v>31-Jul</c:v>
                </c:pt>
                <c:pt idx="49">
                  <c:v>01-Aug</c:v>
                </c:pt>
                <c:pt idx="50">
                  <c:v>02-Aug</c:v>
                </c:pt>
                <c:pt idx="51">
                  <c:v>03-Aug</c:v>
                </c:pt>
                <c:pt idx="52">
                  <c:v>04-Aug</c:v>
                </c:pt>
                <c:pt idx="53">
                  <c:v>05-Aug</c:v>
                </c:pt>
                <c:pt idx="54">
                  <c:v>06-Aug</c:v>
                </c:pt>
                <c:pt idx="55">
                  <c:v>07-Aug</c:v>
                </c:pt>
                <c:pt idx="56">
                  <c:v>08-Aug</c:v>
                </c:pt>
                <c:pt idx="57">
                  <c:v>09-Aug</c:v>
                </c:pt>
                <c:pt idx="58">
                  <c:v>10-Aug</c:v>
                </c:pt>
                <c:pt idx="59">
                  <c:v>11-Aug</c:v>
                </c:pt>
                <c:pt idx="60">
                  <c:v>12-Aug</c:v>
                </c:pt>
                <c:pt idx="61">
                  <c:v>13-Aug</c:v>
                </c:pt>
                <c:pt idx="62">
                  <c:v>14-Aug</c:v>
                </c:pt>
                <c:pt idx="63">
                  <c:v>15-Aug</c:v>
                </c:pt>
                <c:pt idx="64">
                  <c:v>16-Aug</c:v>
                </c:pt>
                <c:pt idx="65">
                  <c:v>17-Aug</c:v>
                </c:pt>
                <c:pt idx="66">
                  <c:v>18-Aug</c:v>
                </c:pt>
                <c:pt idx="67">
                  <c:v>19-Aug</c:v>
                </c:pt>
                <c:pt idx="68">
                  <c:v>20-Aug</c:v>
                </c:pt>
                <c:pt idx="69">
                  <c:v>21-Aug</c:v>
                </c:pt>
                <c:pt idx="70">
                  <c:v>22-Aug</c:v>
                </c:pt>
                <c:pt idx="71">
                  <c:v>23-Aug</c:v>
                </c:pt>
                <c:pt idx="72">
                  <c:v>24-Aug</c:v>
                </c:pt>
                <c:pt idx="73">
                  <c:v>25-Aug</c:v>
                </c:pt>
                <c:pt idx="74">
                  <c:v>26-Aug</c:v>
                </c:pt>
                <c:pt idx="75">
                  <c:v>27-Aug</c:v>
                </c:pt>
                <c:pt idx="76">
                  <c:v>28-Aug</c:v>
                </c:pt>
                <c:pt idx="77">
                  <c:v>29-Aug</c:v>
                </c:pt>
                <c:pt idx="78">
                  <c:v>30-Aug</c:v>
                </c:pt>
                <c:pt idx="79">
                  <c:v>31-Aug</c:v>
                </c:pt>
                <c:pt idx="80">
                  <c:v>01-Sep</c:v>
                </c:pt>
                <c:pt idx="81">
                  <c:v>02-Sep</c:v>
                </c:pt>
                <c:pt idx="82">
                  <c:v>03-Sep</c:v>
                </c:pt>
                <c:pt idx="83">
                  <c:v>04-Sep</c:v>
                </c:pt>
                <c:pt idx="84">
                  <c:v>05-Sep</c:v>
                </c:pt>
                <c:pt idx="85">
                  <c:v>06-Sep</c:v>
                </c:pt>
                <c:pt idx="86">
                  <c:v>07-Sep</c:v>
                </c:pt>
                <c:pt idx="87">
                  <c:v>08-Sep</c:v>
                </c:pt>
                <c:pt idx="88">
                  <c:v>09-Sep</c:v>
                </c:pt>
                <c:pt idx="89">
                  <c:v>10-Sep</c:v>
                </c:pt>
                <c:pt idx="90">
                  <c:v>11-Sep</c:v>
                </c:pt>
                <c:pt idx="91">
                  <c:v>12-Sep</c:v>
                </c:pt>
                <c:pt idx="92">
                  <c:v>13-Sep</c:v>
                </c:pt>
                <c:pt idx="93">
                  <c:v>14-Sep</c:v>
                </c:pt>
                <c:pt idx="94">
                  <c:v>15-Sep</c:v>
                </c:pt>
                <c:pt idx="95">
                  <c:v>16-Sep</c:v>
                </c:pt>
                <c:pt idx="96">
                  <c:v>17-Sep</c:v>
                </c:pt>
                <c:pt idx="97">
                  <c:v>18-Sep</c:v>
                </c:pt>
                <c:pt idx="98">
                  <c:v>19-Sep</c:v>
                </c:pt>
                <c:pt idx="99">
                  <c:v>20-Sep</c:v>
                </c:pt>
                <c:pt idx="100">
                  <c:v>Grand Total</c:v>
                </c:pt>
              </c:strCache>
            </c:strRef>
          </c:cat>
          <c:val>
            <c:numRef>
              <c:f>'PIVOT TABLES'!$B$42:$B$142</c:f>
              <c:numCache>
                <c:formatCode>"₦"#,##0.00</c:formatCode>
                <c:ptCount val="101"/>
                <c:pt idx="0">
                  <c:v>20000000</c:v>
                </c:pt>
                <c:pt idx="1">
                  <c:v>2100000</c:v>
                </c:pt>
                <c:pt idx="2">
                  <c:v>2520000</c:v>
                </c:pt>
                <c:pt idx="3">
                  <c:v>1170000</c:v>
                </c:pt>
                <c:pt idx="4">
                  <c:v>900000</c:v>
                </c:pt>
                <c:pt idx="5">
                  <c:v>2991113</c:v>
                </c:pt>
                <c:pt idx="6">
                  <c:v>1050000</c:v>
                </c:pt>
                <c:pt idx="7">
                  <c:v>130000</c:v>
                </c:pt>
                <c:pt idx="8">
                  <c:v>2450000</c:v>
                </c:pt>
                <c:pt idx="9">
                  <c:v>600000</c:v>
                </c:pt>
                <c:pt idx="10">
                  <c:v>3000000</c:v>
                </c:pt>
                <c:pt idx="11">
                  <c:v>510000</c:v>
                </c:pt>
                <c:pt idx="12">
                  <c:v>150000</c:v>
                </c:pt>
                <c:pt idx="13">
                  <c:v>630000</c:v>
                </c:pt>
                <c:pt idx="14">
                  <c:v>170000</c:v>
                </c:pt>
                <c:pt idx="15">
                  <c:v>682385</c:v>
                </c:pt>
                <c:pt idx="16">
                  <c:v>1750000</c:v>
                </c:pt>
                <c:pt idx="17">
                  <c:v>600000</c:v>
                </c:pt>
                <c:pt idx="18">
                  <c:v>525000</c:v>
                </c:pt>
                <c:pt idx="19">
                  <c:v>875000</c:v>
                </c:pt>
                <c:pt idx="20">
                  <c:v>5000000</c:v>
                </c:pt>
                <c:pt idx="21">
                  <c:v>350000</c:v>
                </c:pt>
                <c:pt idx="22">
                  <c:v>3000000</c:v>
                </c:pt>
                <c:pt idx="23">
                  <c:v>1200000</c:v>
                </c:pt>
                <c:pt idx="24">
                  <c:v>4750000</c:v>
                </c:pt>
                <c:pt idx="25">
                  <c:v>2100000</c:v>
                </c:pt>
                <c:pt idx="26">
                  <c:v>935000</c:v>
                </c:pt>
                <c:pt idx="27">
                  <c:v>1105000</c:v>
                </c:pt>
                <c:pt idx="28">
                  <c:v>5250000</c:v>
                </c:pt>
                <c:pt idx="29">
                  <c:v>2800000</c:v>
                </c:pt>
                <c:pt idx="30">
                  <c:v>4900000</c:v>
                </c:pt>
                <c:pt idx="31">
                  <c:v>1800000</c:v>
                </c:pt>
                <c:pt idx="32">
                  <c:v>1400000</c:v>
                </c:pt>
                <c:pt idx="33">
                  <c:v>900000</c:v>
                </c:pt>
                <c:pt idx="34">
                  <c:v>50000000</c:v>
                </c:pt>
                <c:pt idx="35">
                  <c:v>780000</c:v>
                </c:pt>
                <c:pt idx="36">
                  <c:v>294960</c:v>
                </c:pt>
                <c:pt idx="37">
                  <c:v>3150000</c:v>
                </c:pt>
                <c:pt idx="38">
                  <c:v>1800000</c:v>
                </c:pt>
                <c:pt idx="39">
                  <c:v>650000</c:v>
                </c:pt>
                <c:pt idx="40">
                  <c:v>450000</c:v>
                </c:pt>
                <c:pt idx="41">
                  <c:v>1440000</c:v>
                </c:pt>
                <c:pt idx="42">
                  <c:v>750000</c:v>
                </c:pt>
                <c:pt idx="43">
                  <c:v>1530000</c:v>
                </c:pt>
                <c:pt idx="44">
                  <c:v>1350000</c:v>
                </c:pt>
                <c:pt idx="45">
                  <c:v>2700000</c:v>
                </c:pt>
                <c:pt idx="46">
                  <c:v>1650000</c:v>
                </c:pt>
                <c:pt idx="47">
                  <c:v>1400000</c:v>
                </c:pt>
                <c:pt idx="48">
                  <c:v>2850000</c:v>
                </c:pt>
                <c:pt idx="49">
                  <c:v>595000</c:v>
                </c:pt>
                <c:pt idx="50">
                  <c:v>752856</c:v>
                </c:pt>
                <c:pt idx="51">
                  <c:v>11700000</c:v>
                </c:pt>
                <c:pt idx="52">
                  <c:v>325000</c:v>
                </c:pt>
                <c:pt idx="53">
                  <c:v>4550000</c:v>
                </c:pt>
                <c:pt idx="54">
                  <c:v>6650000</c:v>
                </c:pt>
                <c:pt idx="55">
                  <c:v>1620000</c:v>
                </c:pt>
                <c:pt idx="56">
                  <c:v>1500000</c:v>
                </c:pt>
                <c:pt idx="57">
                  <c:v>850000</c:v>
                </c:pt>
                <c:pt idx="58">
                  <c:v>125000</c:v>
                </c:pt>
                <c:pt idx="59">
                  <c:v>150000</c:v>
                </c:pt>
                <c:pt idx="60">
                  <c:v>3000000</c:v>
                </c:pt>
                <c:pt idx="61">
                  <c:v>3850000</c:v>
                </c:pt>
                <c:pt idx="62">
                  <c:v>3500000</c:v>
                </c:pt>
                <c:pt idx="63">
                  <c:v>450000</c:v>
                </c:pt>
                <c:pt idx="64">
                  <c:v>510000</c:v>
                </c:pt>
                <c:pt idx="65">
                  <c:v>5250000</c:v>
                </c:pt>
                <c:pt idx="66">
                  <c:v>2400000</c:v>
                </c:pt>
                <c:pt idx="67">
                  <c:v>1400000</c:v>
                </c:pt>
                <c:pt idx="68">
                  <c:v>170000</c:v>
                </c:pt>
                <c:pt idx="69">
                  <c:v>3250000</c:v>
                </c:pt>
                <c:pt idx="70">
                  <c:v>715000</c:v>
                </c:pt>
                <c:pt idx="71">
                  <c:v>59500</c:v>
                </c:pt>
                <c:pt idx="72">
                  <c:v>1170000</c:v>
                </c:pt>
                <c:pt idx="73">
                  <c:v>2340000</c:v>
                </c:pt>
                <c:pt idx="74">
                  <c:v>1750000</c:v>
                </c:pt>
                <c:pt idx="75">
                  <c:v>425000</c:v>
                </c:pt>
                <c:pt idx="76">
                  <c:v>5950000</c:v>
                </c:pt>
                <c:pt idx="77">
                  <c:v>4550000</c:v>
                </c:pt>
                <c:pt idx="78">
                  <c:v>2800000</c:v>
                </c:pt>
                <c:pt idx="79">
                  <c:v>1105000</c:v>
                </c:pt>
                <c:pt idx="80">
                  <c:v>2550000</c:v>
                </c:pt>
                <c:pt idx="81">
                  <c:v>1235000</c:v>
                </c:pt>
                <c:pt idx="82">
                  <c:v>150000</c:v>
                </c:pt>
                <c:pt idx="83">
                  <c:v>3250000</c:v>
                </c:pt>
                <c:pt idx="84">
                  <c:v>1170000</c:v>
                </c:pt>
                <c:pt idx="85">
                  <c:v>5000000</c:v>
                </c:pt>
                <c:pt idx="86">
                  <c:v>720000</c:v>
                </c:pt>
                <c:pt idx="87">
                  <c:v>750000</c:v>
                </c:pt>
                <c:pt idx="88">
                  <c:v>27500000</c:v>
                </c:pt>
                <c:pt idx="89">
                  <c:v>5000000</c:v>
                </c:pt>
                <c:pt idx="90">
                  <c:v>624631</c:v>
                </c:pt>
                <c:pt idx="91">
                  <c:v>1250000</c:v>
                </c:pt>
                <c:pt idx="92">
                  <c:v>3325000</c:v>
                </c:pt>
                <c:pt idx="93">
                  <c:v>4900000</c:v>
                </c:pt>
                <c:pt idx="94">
                  <c:v>3500000</c:v>
                </c:pt>
                <c:pt idx="95">
                  <c:v>1530000</c:v>
                </c:pt>
                <c:pt idx="96">
                  <c:v>2975000</c:v>
                </c:pt>
                <c:pt idx="97">
                  <c:v>5000000</c:v>
                </c:pt>
                <c:pt idx="98">
                  <c:v>7000000</c:v>
                </c:pt>
                <c:pt idx="99">
                  <c:v>2700000</c:v>
                </c:pt>
                <c:pt idx="100">
                  <c:v>302680445</c:v>
                </c:pt>
              </c:numCache>
            </c:numRef>
          </c:val>
          <c:extLst>
            <c:ext xmlns:c16="http://schemas.microsoft.com/office/drawing/2014/chart" uri="{C3380CC4-5D6E-409C-BE32-E72D297353CC}">
              <c16:uniqueId val="{00000000-8C42-426B-BE0E-4A3C41812D28}"/>
            </c:ext>
          </c:extLst>
        </c:ser>
        <c:dLbls>
          <c:showLegendKey val="0"/>
          <c:showVal val="0"/>
          <c:showCatName val="0"/>
          <c:showSerName val="0"/>
          <c:showPercent val="0"/>
          <c:showBubbleSize val="0"/>
        </c:dLbls>
        <c:gapWidth val="219"/>
        <c:overlap val="-27"/>
        <c:axId val="1972190768"/>
        <c:axId val="1972198448"/>
      </c:barChart>
      <c:catAx>
        <c:axId val="197219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2198448"/>
        <c:crosses val="autoZero"/>
        <c:auto val="1"/>
        <c:lblAlgn val="ctr"/>
        <c:lblOffset val="100"/>
        <c:noMultiLvlLbl val="0"/>
      </c:catAx>
      <c:valAx>
        <c:axId val="197219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219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TABLES!PivotTable10</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COUNT </a:t>
            </a:r>
          </a:p>
          <a:p>
            <a:pPr>
              <a:defRPr/>
            </a:pPr>
            <a:r>
              <a:rPr lang="en-US" sz="900" b="1"/>
              <a:t>BY SALES PERSON PER REGION</a:t>
            </a:r>
          </a:p>
        </c:rich>
      </c:tx>
      <c:layout>
        <c:manualLayout>
          <c:xMode val="edge"/>
          <c:yMode val="edge"/>
          <c:x val="0.39645759797266722"/>
          <c:y val="1.5151515151515152E-2"/>
        </c:manualLayout>
      </c:layout>
      <c:overlay val="0"/>
      <c:spPr>
        <a:noFill/>
        <a:ln w="0">
          <a:solidFill>
            <a:srgbClr val="92D05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6218358265136E-2"/>
          <c:y val="5.7971014492753624E-2"/>
          <c:w val="0.84269065896543494"/>
          <c:h val="0.62230410921954915"/>
        </c:manualLayout>
      </c:layout>
      <c:barChart>
        <c:barDir val="col"/>
        <c:grouping val="clustered"/>
        <c:varyColors val="0"/>
        <c:ser>
          <c:idx val="0"/>
          <c:order val="0"/>
          <c:tx>
            <c:strRef>
              <c:f>'PIVOT TABLES'!$J$27:$J$28</c:f>
              <c:strCache>
                <c:ptCount val="1"/>
                <c:pt idx="0">
                  <c:v>East</c:v>
                </c:pt>
              </c:strCache>
            </c:strRef>
          </c:tx>
          <c:spPr>
            <a:solidFill>
              <a:schemeClr val="accent1"/>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TABLES'!$J$29:$J$39</c:f>
              <c:numCache>
                <c:formatCode>0.0</c:formatCode>
                <c:ptCount val="10"/>
                <c:pt idx="0">
                  <c:v>10</c:v>
                </c:pt>
                <c:pt idx="1">
                  <c:v>21</c:v>
                </c:pt>
                <c:pt idx="2">
                  <c:v>96</c:v>
                </c:pt>
                <c:pt idx="3">
                  <c:v>97</c:v>
                </c:pt>
                <c:pt idx="4">
                  <c:v>89</c:v>
                </c:pt>
                <c:pt idx="5">
                  <c:v>63</c:v>
                </c:pt>
                <c:pt idx="7">
                  <c:v>44</c:v>
                </c:pt>
                <c:pt idx="8">
                  <c:v>10</c:v>
                </c:pt>
              </c:numCache>
            </c:numRef>
          </c:val>
          <c:extLst>
            <c:ext xmlns:c16="http://schemas.microsoft.com/office/drawing/2014/chart" uri="{C3380CC4-5D6E-409C-BE32-E72D297353CC}">
              <c16:uniqueId val="{00000000-4B72-424E-BAD2-3EE848C9305C}"/>
            </c:ext>
          </c:extLst>
        </c:ser>
        <c:ser>
          <c:idx val="1"/>
          <c:order val="1"/>
          <c:tx>
            <c:strRef>
              <c:f>'PIVOT TABLES'!$K$27:$K$28</c:f>
              <c:strCache>
                <c:ptCount val="1"/>
                <c:pt idx="0">
                  <c:v>North</c:v>
                </c:pt>
              </c:strCache>
            </c:strRef>
          </c:tx>
          <c:spPr>
            <a:solidFill>
              <a:schemeClr val="accent2"/>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TABLES'!$K$29:$K$39</c:f>
              <c:numCache>
                <c:formatCode>0.0</c:formatCode>
                <c:ptCount val="10"/>
                <c:pt idx="1">
                  <c:v>35</c:v>
                </c:pt>
                <c:pt idx="2">
                  <c:v>22</c:v>
                </c:pt>
                <c:pt idx="3">
                  <c:v>27</c:v>
                </c:pt>
                <c:pt idx="4">
                  <c:v>25</c:v>
                </c:pt>
                <c:pt idx="5">
                  <c:v>49</c:v>
                </c:pt>
                <c:pt idx="7">
                  <c:v>30</c:v>
                </c:pt>
                <c:pt idx="8">
                  <c:v>8</c:v>
                </c:pt>
              </c:numCache>
            </c:numRef>
          </c:val>
          <c:extLst>
            <c:ext xmlns:c16="http://schemas.microsoft.com/office/drawing/2014/chart" uri="{C3380CC4-5D6E-409C-BE32-E72D297353CC}">
              <c16:uniqueId val="{00000001-4B72-424E-BAD2-3EE848C9305C}"/>
            </c:ext>
          </c:extLst>
        </c:ser>
        <c:ser>
          <c:idx val="2"/>
          <c:order val="2"/>
          <c:tx>
            <c:strRef>
              <c:f>'PIVOT TABLES'!$L$27:$L$28</c:f>
              <c:strCache>
                <c:ptCount val="1"/>
                <c:pt idx="0">
                  <c:v>South</c:v>
                </c:pt>
              </c:strCache>
            </c:strRef>
          </c:tx>
          <c:spPr>
            <a:solidFill>
              <a:schemeClr val="accent3"/>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TABLES'!$L$29:$L$39</c:f>
              <c:numCache>
                <c:formatCode>0.0</c:formatCode>
                <c:ptCount val="10"/>
                <c:pt idx="1">
                  <c:v>56</c:v>
                </c:pt>
                <c:pt idx="2">
                  <c:v>48</c:v>
                </c:pt>
                <c:pt idx="3">
                  <c:v>40</c:v>
                </c:pt>
                <c:pt idx="4">
                  <c:v>23</c:v>
                </c:pt>
                <c:pt idx="5">
                  <c:v>20</c:v>
                </c:pt>
                <c:pt idx="6">
                  <c:v>15</c:v>
                </c:pt>
                <c:pt idx="7">
                  <c:v>7</c:v>
                </c:pt>
                <c:pt idx="8">
                  <c:v>64</c:v>
                </c:pt>
                <c:pt idx="9">
                  <c:v>19</c:v>
                </c:pt>
              </c:numCache>
            </c:numRef>
          </c:val>
          <c:extLst>
            <c:ext xmlns:c16="http://schemas.microsoft.com/office/drawing/2014/chart" uri="{C3380CC4-5D6E-409C-BE32-E72D297353CC}">
              <c16:uniqueId val="{00000002-4B72-424E-BAD2-3EE848C9305C}"/>
            </c:ext>
          </c:extLst>
        </c:ser>
        <c:ser>
          <c:idx val="3"/>
          <c:order val="3"/>
          <c:tx>
            <c:strRef>
              <c:f>'PIVOT TABLES'!$M$27:$M$28</c:f>
              <c:strCache>
                <c:ptCount val="1"/>
                <c:pt idx="0">
                  <c:v>West</c:v>
                </c:pt>
              </c:strCache>
            </c:strRef>
          </c:tx>
          <c:spPr>
            <a:solidFill>
              <a:schemeClr val="accent4"/>
            </a:solidFill>
            <a:ln>
              <a:noFill/>
            </a:ln>
            <a:effectLst/>
          </c:spPr>
          <c:invertIfNegative val="0"/>
          <c:cat>
            <c:strRef>
              <c:f>'PIVOT TABLES'!$I$29:$I$39</c:f>
              <c:strCache>
                <c:ptCount val="10"/>
                <c:pt idx="0">
                  <c:v>Aba Joel</c:v>
                </c:pt>
                <c:pt idx="1">
                  <c:v>Aisha Bello</c:v>
                </c:pt>
                <c:pt idx="2">
                  <c:v>Chinedu Nwosu</c:v>
                </c:pt>
                <c:pt idx="3">
                  <c:v>Fola Balogun</c:v>
                </c:pt>
                <c:pt idx="4">
                  <c:v>Grace Amos</c:v>
                </c:pt>
                <c:pt idx="5">
                  <c:v>Ifeanyi Okafor</c:v>
                </c:pt>
                <c:pt idx="6">
                  <c:v>Job Austin</c:v>
                </c:pt>
                <c:pt idx="7">
                  <c:v>Mary John</c:v>
                </c:pt>
                <c:pt idx="8">
                  <c:v>Peter Obi</c:v>
                </c:pt>
                <c:pt idx="9">
                  <c:v>Praise Odunayo</c:v>
                </c:pt>
              </c:strCache>
            </c:strRef>
          </c:cat>
          <c:val>
            <c:numRef>
              <c:f>'PIVOT TABLES'!$M$29:$M$39</c:f>
              <c:numCache>
                <c:formatCode>0.0</c:formatCode>
                <c:ptCount val="10"/>
                <c:pt idx="1">
                  <c:v>12</c:v>
                </c:pt>
                <c:pt idx="2">
                  <c:v>58</c:v>
                </c:pt>
                <c:pt idx="3">
                  <c:v>31</c:v>
                </c:pt>
                <c:pt idx="4">
                  <c:v>40</c:v>
                </c:pt>
                <c:pt idx="5">
                  <c:v>19</c:v>
                </c:pt>
                <c:pt idx="7">
                  <c:v>24</c:v>
                </c:pt>
                <c:pt idx="8">
                  <c:v>39</c:v>
                </c:pt>
              </c:numCache>
            </c:numRef>
          </c:val>
          <c:extLst>
            <c:ext xmlns:c16="http://schemas.microsoft.com/office/drawing/2014/chart" uri="{C3380CC4-5D6E-409C-BE32-E72D297353CC}">
              <c16:uniqueId val="{00000003-4B72-424E-BAD2-3EE848C9305C}"/>
            </c:ext>
          </c:extLst>
        </c:ser>
        <c:dLbls>
          <c:showLegendKey val="0"/>
          <c:showVal val="0"/>
          <c:showCatName val="0"/>
          <c:showSerName val="0"/>
          <c:showPercent val="0"/>
          <c:showBubbleSize val="0"/>
        </c:dLbls>
        <c:gapWidth val="219"/>
        <c:overlap val="-27"/>
        <c:axId val="230153536"/>
        <c:axId val="230177056"/>
      </c:barChart>
      <c:catAx>
        <c:axId val="2301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0177056"/>
        <c:crosses val="autoZero"/>
        <c:auto val="1"/>
        <c:lblAlgn val="ctr"/>
        <c:lblOffset val="100"/>
        <c:noMultiLvlLbl val="0"/>
      </c:catAx>
      <c:valAx>
        <c:axId val="2301770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0153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17</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0-3B57-45E3-A28C-9B97312449E7}"/>
            </c:ext>
          </c:extLst>
        </c:ser>
        <c:ser>
          <c:idx val="1"/>
          <c:order val="1"/>
          <c:tx>
            <c:v>Series2</c:v>
          </c:tx>
          <c:spPr>
            <a:solidFill>
              <a:schemeClr val="accent2"/>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1-3B57-45E3-A28C-9B97312449E7}"/>
            </c:ext>
          </c:extLst>
        </c:ser>
        <c:ser>
          <c:idx val="2"/>
          <c:order val="2"/>
          <c:tx>
            <c:v>Series3</c:v>
          </c:tx>
          <c:spPr>
            <a:solidFill>
              <a:schemeClr val="accent3"/>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2-3B57-45E3-A28C-9B97312449E7}"/>
            </c:ext>
          </c:extLst>
        </c:ser>
        <c:ser>
          <c:idx val="3"/>
          <c:order val="3"/>
          <c:tx>
            <c:v>Series4</c:v>
          </c:tx>
          <c:spPr>
            <a:solidFill>
              <a:schemeClr val="accent4"/>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0</c:v>
              </c:pt>
              <c:pt idx="57">
                <c:v>0</c:v>
              </c:pt>
              <c:pt idx="58">
                <c:v>0</c:v>
              </c:pt>
              <c:pt idx="59">
                <c:v>0</c:v>
              </c:pt>
              <c:pt idx="60">
                <c:v>1</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3-3B57-45E3-A28C-9B97312449E7}"/>
            </c:ext>
          </c:extLst>
        </c:ser>
        <c:ser>
          <c:idx val="4"/>
          <c:order val="4"/>
          <c:tx>
            <c:v>Series5</c:v>
          </c:tx>
          <c:spPr>
            <a:solidFill>
              <a:schemeClr val="accent5"/>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2</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2</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4-3B57-45E3-A28C-9B97312449E7}"/>
            </c:ext>
          </c:extLst>
        </c:ser>
        <c:ser>
          <c:idx val="5"/>
          <c:order val="5"/>
          <c:tx>
            <c:v>Series6</c:v>
          </c:tx>
          <c:spPr>
            <a:solidFill>
              <a:schemeClr val="accent6"/>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4</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5-3B57-45E3-A28C-9B97312449E7}"/>
            </c:ext>
          </c:extLst>
        </c:ser>
        <c:ser>
          <c:idx val="6"/>
          <c:order val="6"/>
          <c:tx>
            <c:v>Series7</c:v>
          </c:tx>
          <c:spPr>
            <a:solidFill>
              <a:schemeClr val="accent1">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6-3B57-45E3-A28C-9B97312449E7}"/>
            </c:ext>
          </c:extLst>
        </c:ser>
        <c:ser>
          <c:idx val="7"/>
          <c:order val="7"/>
          <c:tx>
            <c:v>Series8</c:v>
          </c:tx>
          <c:spPr>
            <a:solidFill>
              <a:schemeClr val="accent2">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2</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7-3B57-45E3-A28C-9B97312449E7}"/>
            </c:ext>
          </c:extLst>
        </c:ser>
        <c:ser>
          <c:idx val="8"/>
          <c:order val="8"/>
          <c:tx>
            <c:v>Series9</c:v>
          </c:tx>
          <c:spPr>
            <a:solidFill>
              <a:schemeClr val="accent3">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5</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8-3B57-45E3-A28C-9B97312449E7}"/>
            </c:ext>
          </c:extLst>
        </c:ser>
        <c:ser>
          <c:idx val="9"/>
          <c:order val="9"/>
          <c:tx>
            <c:v>Series10</c:v>
          </c:tx>
          <c:spPr>
            <a:solidFill>
              <a:schemeClr val="accent4">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3</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9-3B57-45E3-A28C-9B97312449E7}"/>
            </c:ext>
          </c:extLst>
        </c:ser>
        <c:ser>
          <c:idx val="10"/>
          <c:order val="10"/>
          <c:tx>
            <c:v>Series11</c:v>
          </c:tx>
          <c:spPr>
            <a:solidFill>
              <a:schemeClr val="accent5">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6</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A-3B57-45E3-A28C-9B97312449E7}"/>
            </c:ext>
          </c:extLst>
        </c:ser>
        <c:ser>
          <c:idx val="11"/>
          <c:order val="11"/>
          <c:tx>
            <c:v>Series12</c:v>
          </c:tx>
          <c:spPr>
            <a:solidFill>
              <a:schemeClr val="accent6">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3</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B-3B57-45E3-A28C-9B97312449E7}"/>
            </c:ext>
          </c:extLst>
        </c:ser>
        <c:ser>
          <c:idx val="12"/>
          <c:order val="12"/>
          <c:tx>
            <c:v>Series13</c:v>
          </c:tx>
          <c:spPr>
            <a:solidFill>
              <a:schemeClr val="accent1">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C-3B57-45E3-A28C-9B97312449E7}"/>
            </c:ext>
          </c:extLst>
        </c:ser>
        <c:ser>
          <c:idx val="13"/>
          <c:order val="13"/>
          <c:tx>
            <c:v>Series14</c:v>
          </c:tx>
          <c:spPr>
            <a:solidFill>
              <a:schemeClr val="accent2">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D-3B57-45E3-A28C-9B97312449E7}"/>
            </c:ext>
          </c:extLst>
        </c:ser>
        <c:ser>
          <c:idx val="14"/>
          <c:order val="14"/>
          <c:tx>
            <c:v>Series15</c:v>
          </c:tx>
          <c:spPr>
            <a:solidFill>
              <a:schemeClr val="accent3">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7</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E-3B57-45E3-A28C-9B97312449E7}"/>
            </c:ext>
          </c:extLst>
        </c:ser>
        <c:ser>
          <c:idx val="15"/>
          <c:order val="15"/>
          <c:tx>
            <c:v>Series16</c:v>
          </c:tx>
          <c:spPr>
            <a:solidFill>
              <a:schemeClr val="accent4">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18</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F-3B57-45E3-A28C-9B97312449E7}"/>
            </c:ext>
          </c:extLst>
        </c:ser>
        <c:ser>
          <c:idx val="16"/>
          <c:order val="16"/>
          <c:tx>
            <c:v>Series17</c:v>
          </c:tx>
          <c:spPr>
            <a:solidFill>
              <a:schemeClr val="accent5">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10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0-3B57-45E3-A28C-9B97312449E7}"/>
            </c:ext>
          </c:extLst>
        </c:ser>
        <c:ser>
          <c:idx val="17"/>
          <c:order val="17"/>
          <c:tx>
            <c:v>Series18</c:v>
          </c:tx>
          <c:spPr>
            <a:solidFill>
              <a:schemeClr val="accent6">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1-3B57-45E3-A28C-9B97312449E7}"/>
            </c:ext>
          </c:extLst>
        </c:ser>
        <c:ser>
          <c:idx val="18"/>
          <c:order val="18"/>
          <c:tx>
            <c:v>Series19</c:v>
          </c:tx>
          <c:spPr>
            <a:solidFill>
              <a:schemeClr val="accent1">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2-3B57-45E3-A28C-9B97312449E7}"/>
            </c:ext>
          </c:extLst>
        </c:ser>
        <c:ser>
          <c:idx val="19"/>
          <c:order val="19"/>
          <c:tx>
            <c:v>Series20</c:v>
          </c:tx>
          <c:spPr>
            <a:solidFill>
              <a:schemeClr val="accent2">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3-3B57-45E3-A28C-9B97312449E7}"/>
            </c:ext>
          </c:extLst>
        </c:ser>
        <c:ser>
          <c:idx val="20"/>
          <c:order val="20"/>
          <c:tx>
            <c:v>Series21</c:v>
          </c:tx>
          <c:spPr>
            <a:solidFill>
              <a:schemeClr val="accent3">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3</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4-3B57-45E3-A28C-9B97312449E7}"/>
            </c:ext>
          </c:extLst>
        </c:ser>
        <c:ser>
          <c:idx val="21"/>
          <c:order val="21"/>
          <c:tx>
            <c:v>Series22</c:v>
          </c:tx>
          <c:spPr>
            <a:solidFill>
              <a:schemeClr val="accent4">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13</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5-3B57-45E3-A28C-9B97312449E7}"/>
            </c:ext>
          </c:extLst>
        </c:ser>
        <c:ser>
          <c:idx val="22"/>
          <c:order val="22"/>
          <c:tx>
            <c:v>Series23</c:v>
          </c:tx>
          <c:spPr>
            <a:solidFill>
              <a:schemeClr val="accent5">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12</c:v>
              </c:pt>
              <c:pt idx="96">
                <c:v>0</c:v>
              </c:pt>
              <c:pt idx="97">
                <c:v>0</c:v>
              </c:pt>
              <c:pt idx="98">
                <c:v>0</c:v>
              </c:pt>
              <c:pt idx="99">
                <c:v>0</c:v>
              </c:pt>
            </c:numLit>
          </c:val>
          <c:extLst>
            <c:ext xmlns:c16="http://schemas.microsoft.com/office/drawing/2014/chart" uri="{C3380CC4-5D6E-409C-BE32-E72D297353CC}">
              <c16:uniqueId val="{00000016-3B57-45E3-A28C-9B97312449E7}"/>
            </c:ext>
          </c:extLst>
        </c:ser>
        <c:ser>
          <c:idx val="23"/>
          <c:order val="23"/>
          <c:tx>
            <c:v>Series24</c:v>
          </c:tx>
          <c:spPr>
            <a:solidFill>
              <a:schemeClr val="accent6">
                <a:lumMod val="8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10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7-3B57-45E3-A28C-9B97312449E7}"/>
            </c:ext>
          </c:extLst>
        </c:ser>
        <c:ser>
          <c:idx val="24"/>
          <c:order val="24"/>
          <c:tx>
            <c:v>Series25</c:v>
          </c:tx>
          <c:spPr>
            <a:solidFill>
              <a:schemeClr val="accent1">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8-3B57-45E3-A28C-9B97312449E7}"/>
            </c:ext>
          </c:extLst>
        </c:ser>
        <c:ser>
          <c:idx val="25"/>
          <c:order val="25"/>
          <c:tx>
            <c:v>Series26</c:v>
          </c:tx>
          <c:spPr>
            <a:solidFill>
              <a:schemeClr val="accent2">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5</c:v>
              </c:pt>
              <c:pt idx="88">
                <c:v>0</c:v>
              </c:pt>
              <c:pt idx="89">
                <c:v>0</c:v>
              </c:pt>
              <c:pt idx="90">
                <c:v>0</c:v>
              </c:pt>
              <c:pt idx="91">
                <c:v>0</c:v>
              </c:pt>
              <c:pt idx="92">
                <c:v>0</c:v>
              </c:pt>
              <c:pt idx="93">
                <c:v>6</c:v>
              </c:pt>
              <c:pt idx="94">
                <c:v>0</c:v>
              </c:pt>
              <c:pt idx="95">
                <c:v>0</c:v>
              </c:pt>
              <c:pt idx="96">
                <c:v>0</c:v>
              </c:pt>
              <c:pt idx="97">
                <c:v>0</c:v>
              </c:pt>
              <c:pt idx="98">
                <c:v>0</c:v>
              </c:pt>
              <c:pt idx="99">
                <c:v>0</c:v>
              </c:pt>
            </c:numLit>
          </c:val>
          <c:extLst>
            <c:ext xmlns:c16="http://schemas.microsoft.com/office/drawing/2014/chart" uri="{C3380CC4-5D6E-409C-BE32-E72D297353CC}">
              <c16:uniqueId val="{00000019-3B57-45E3-A28C-9B97312449E7}"/>
            </c:ext>
          </c:extLst>
        </c:ser>
        <c:ser>
          <c:idx val="26"/>
          <c:order val="26"/>
          <c:tx>
            <c:v>Series27</c:v>
          </c:tx>
          <c:spPr>
            <a:solidFill>
              <a:schemeClr val="accent3">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A-3B57-45E3-A28C-9B97312449E7}"/>
            </c:ext>
          </c:extLst>
        </c:ser>
        <c:ser>
          <c:idx val="27"/>
          <c:order val="27"/>
          <c:tx>
            <c:v>Series28</c:v>
          </c:tx>
          <c:spPr>
            <a:solidFill>
              <a:schemeClr val="accent4">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B-3B57-45E3-A28C-9B97312449E7}"/>
            </c:ext>
          </c:extLst>
        </c:ser>
        <c:ser>
          <c:idx val="28"/>
          <c:order val="28"/>
          <c:tx>
            <c:v>Series29</c:v>
          </c:tx>
          <c:spPr>
            <a:solidFill>
              <a:schemeClr val="accent5">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13</c:v>
              </c:pt>
              <c:pt idx="14">
                <c:v>0</c:v>
              </c:pt>
              <c:pt idx="15">
                <c:v>0</c:v>
              </c:pt>
              <c:pt idx="16">
                <c:v>0</c:v>
              </c:pt>
              <c:pt idx="17">
                <c:v>0</c:v>
              </c:pt>
              <c:pt idx="18">
                <c:v>0</c:v>
              </c:pt>
              <c:pt idx="19">
                <c:v>0</c:v>
              </c:pt>
              <c:pt idx="20">
                <c:v>17</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C-3B57-45E3-A28C-9B97312449E7}"/>
            </c:ext>
          </c:extLst>
        </c:ser>
        <c:ser>
          <c:idx val="29"/>
          <c:order val="29"/>
          <c:tx>
            <c:v>Series30</c:v>
          </c:tx>
          <c:spPr>
            <a:solidFill>
              <a:schemeClr val="accent6">
                <a:lumMod val="60000"/>
                <a:lumOff val="4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18</c:v>
              </c:pt>
              <c:pt idx="31">
                <c:v>0</c:v>
              </c:pt>
              <c:pt idx="32">
                <c:v>18</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18</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D-3B57-45E3-A28C-9B97312449E7}"/>
            </c:ext>
          </c:extLst>
        </c:ser>
        <c:ser>
          <c:idx val="30"/>
          <c:order val="30"/>
          <c:tx>
            <c:v>Series31</c:v>
          </c:tx>
          <c:spPr>
            <a:solidFill>
              <a:schemeClr val="accent1">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8</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E-3B57-45E3-A28C-9B97312449E7}"/>
            </c:ext>
          </c:extLst>
        </c:ser>
        <c:ser>
          <c:idx val="31"/>
          <c:order val="31"/>
          <c:tx>
            <c:v>Series32</c:v>
          </c:tx>
          <c:spPr>
            <a:solidFill>
              <a:schemeClr val="accent2">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19</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F-3B57-45E3-A28C-9B97312449E7}"/>
            </c:ext>
          </c:extLst>
        </c:ser>
        <c:ser>
          <c:idx val="32"/>
          <c:order val="32"/>
          <c:tx>
            <c:v>Series33</c:v>
          </c:tx>
          <c:spPr>
            <a:solidFill>
              <a:schemeClr val="accent3">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5</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0-3B57-45E3-A28C-9B97312449E7}"/>
            </c:ext>
          </c:extLst>
        </c:ser>
        <c:ser>
          <c:idx val="33"/>
          <c:order val="33"/>
          <c:tx>
            <c:v>Series34</c:v>
          </c:tx>
          <c:spPr>
            <a:solidFill>
              <a:schemeClr val="accent4">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9</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1-3B57-45E3-A28C-9B97312449E7}"/>
            </c:ext>
          </c:extLst>
        </c:ser>
        <c:ser>
          <c:idx val="34"/>
          <c:order val="34"/>
          <c:tx>
            <c:v>Series35</c:v>
          </c:tx>
          <c:spPr>
            <a:solidFill>
              <a:schemeClr val="accent5">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4</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8</c:v>
              </c:pt>
              <c:pt idx="93">
                <c:v>0</c:v>
              </c:pt>
              <c:pt idx="94">
                <c:v>0</c:v>
              </c:pt>
              <c:pt idx="95">
                <c:v>0</c:v>
              </c:pt>
              <c:pt idx="96">
                <c:v>8</c:v>
              </c:pt>
              <c:pt idx="97">
                <c:v>0</c:v>
              </c:pt>
              <c:pt idx="98">
                <c:v>0</c:v>
              </c:pt>
              <c:pt idx="99">
                <c:v>0</c:v>
              </c:pt>
            </c:numLit>
          </c:val>
          <c:extLst>
            <c:ext xmlns:c16="http://schemas.microsoft.com/office/drawing/2014/chart" uri="{C3380CC4-5D6E-409C-BE32-E72D297353CC}">
              <c16:uniqueId val="{00000022-3B57-45E3-A28C-9B97312449E7}"/>
            </c:ext>
          </c:extLst>
        </c:ser>
        <c:ser>
          <c:idx val="35"/>
          <c:order val="35"/>
          <c:tx>
            <c:v>Series36</c:v>
          </c:tx>
          <c:spPr>
            <a:solidFill>
              <a:schemeClr val="accent6">
                <a:lumMod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3-3B57-45E3-A28C-9B97312449E7}"/>
            </c:ext>
          </c:extLst>
        </c:ser>
        <c:ser>
          <c:idx val="36"/>
          <c:order val="36"/>
          <c:tx>
            <c:v>Series37</c:v>
          </c:tx>
          <c:spPr>
            <a:solidFill>
              <a:schemeClr val="accent1">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4-3B57-45E3-A28C-9B97312449E7}"/>
            </c:ext>
          </c:extLst>
        </c:ser>
        <c:ser>
          <c:idx val="37"/>
          <c:order val="37"/>
          <c:tx>
            <c:v>Series38</c:v>
          </c:tx>
          <c:spPr>
            <a:solidFill>
              <a:schemeClr val="accent2">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18</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18</c:v>
              </c:pt>
              <c:pt idx="98">
                <c:v>0</c:v>
              </c:pt>
              <c:pt idx="99">
                <c:v>0</c:v>
              </c:pt>
            </c:numLit>
          </c:val>
          <c:extLst>
            <c:ext xmlns:c16="http://schemas.microsoft.com/office/drawing/2014/chart" uri="{C3380CC4-5D6E-409C-BE32-E72D297353CC}">
              <c16:uniqueId val="{00000025-3B57-45E3-A28C-9B97312449E7}"/>
            </c:ext>
          </c:extLst>
        </c:ser>
        <c:ser>
          <c:idx val="38"/>
          <c:order val="38"/>
          <c:tx>
            <c:v>Series39</c:v>
          </c:tx>
          <c:spPr>
            <a:solidFill>
              <a:schemeClr val="accent3">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6-3B57-45E3-A28C-9B97312449E7}"/>
            </c:ext>
          </c:extLst>
        </c:ser>
        <c:ser>
          <c:idx val="39"/>
          <c:order val="39"/>
          <c:tx>
            <c:v>Series40</c:v>
          </c:tx>
          <c:spPr>
            <a:solidFill>
              <a:schemeClr val="accent4">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7-3B57-45E3-A28C-9B97312449E7}"/>
            </c:ext>
          </c:extLst>
        </c:ser>
        <c:ser>
          <c:idx val="40"/>
          <c:order val="40"/>
          <c:tx>
            <c:v>Series41</c:v>
          </c:tx>
          <c:spPr>
            <a:solidFill>
              <a:schemeClr val="accent5">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10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8-3B57-45E3-A28C-9B97312449E7}"/>
            </c:ext>
          </c:extLst>
        </c:ser>
        <c:ser>
          <c:idx val="41"/>
          <c:order val="41"/>
          <c:tx>
            <c:v>Series42</c:v>
          </c:tx>
          <c:spPr>
            <a:solidFill>
              <a:schemeClr val="accent6">
                <a:lumMod val="70000"/>
                <a:lumOff val="3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12</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9-3B57-45E3-A28C-9B97312449E7}"/>
            </c:ext>
          </c:extLst>
        </c:ser>
        <c:ser>
          <c:idx val="42"/>
          <c:order val="42"/>
          <c:tx>
            <c:v>Series43</c:v>
          </c:tx>
          <c:spPr>
            <a:solidFill>
              <a:schemeClr val="accent1">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12</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6</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A-3B57-45E3-A28C-9B97312449E7}"/>
            </c:ext>
          </c:extLst>
        </c:ser>
        <c:ser>
          <c:idx val="43"/>
          <c:order val="43"/>
          <c:tx>
            <c:v>Series44</c:v>
          </c:tx>
          <c:spPr>
            <a:solidFill>
              <a:schemeClr val="accent2">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13</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B-3B57-45E3-A28C-9B97312449E7}"/>
            </c:ext>
          </c:extLst>
        </c:ser>
        <c:ser>
          <c:idx val="44"/>
          <c:order val="44"/>
          <c:tx>
            <c:v>Series45</c:v>
          </c:tx>
          <c:spPr>
            <a:solidFill>
              <a:schemeClr val="accent3">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16</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C-3B57-45E3-A28C-9B97312449E7}"/>
            </c:ext>
          </c:extLst>
        </c:ser>
        <c:ser>
          <c:idx val="45"/>
          <c:order val="45"/>
          <c:tx>
            <c:v>Series46</c:v>
          </c:tx>
          <c:spPr>
            <a:solidFill>
              <a:schemeClr val="accent4">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14</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D-3B57-45E3-A28C-9B97312449E7}"/>
            </c:ext>
          </c:extLst>
        </c:ser>
        <c:ser>
          <c:idx val="46"/>
          <c:order val="46"/>
          <c:tx>
            <c:v>Series47</c:v>
          </c:tx>
          <c:spPr>
            <a:solidFill>
              <a:schemeClr val="accent5">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14</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E-3B57-45E3-A28C-9B97312449E7}"/>
            </c:ext>
          </c:extLst>
        </c:ser>
        <c:ser>
          <c:idx val="47"/>
          <c:order val="47"/>
          <c:tx>
            <c:v>Series48</c:v>
          </c:tx>
          <c:spPr>
            <a:solidFill>
              <a:schemeClr val="accent6">
                <a:lumMod val="7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17</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F-3B57-45E3-A28C-9B97312449E7}"/>
            </c:ext>
          </c:extLst>
        </c:ser>
        <c:ser>
          <c:idx val="48"/>
          <c:order val="48"/>
          <c:tx>
            <c:v>Series49</c:v>
          </c:tx>
          <c:spPr>
            <a:solidFill>
              <a:schemeClr val="accent1">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18</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18</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0-3B57-45E3-A28C-9B97312449E7}"/>
            </c:ext>
          </c:extLst>
        </c:ser>
        <c:ser>
          <c:idx val="49"/>
          <c:order val="49"/>
          <c:tx>
            <c:v>Series50</c:v>
          </c:tx>
          <c:spPr>
            <a:solidFill>
              <a:schemeClr val="accent2">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8</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8</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1-3B57-45E3-A28C-9B97312449E7}"/>
            </c:ext>
          </c:extLst>
        </c:ser>
        <c:ser>
          <c:idx val="50"/>
          <c:order val="50"/>
          <c:tx>
            <c:v>Series51</c:v>
          </c:tx>
          <c:spPr>
            <a:solidFill>
              <a:schemeClr val="accent3">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19</c:v>
              </c:pt>
            </c:numLit>
          </c:val>
          <c:extLst>
            <c:ext xmlns:c16="http://schemas.microsoft.com/office/drawing/2014/chart" uri="{C3380CC4-5D6E-409C-BE32-E72D297353CC}">
              <c16:uniqueId val="{00000032-3B57-45E3-A28C-9B97312449E7}"/>
            </c:ext>
          </c:extLst>
        </c:ser>
        <c:ser>
          <c:idx val="51"/>
          <c:order val="51"/>
          <c:tx>
            <c:v>Series52</c:v>
          </c:tx>
          <c:spPr>
            <a:solidFill>
              <a:schemeClr val="accent4">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17</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3-3B57-45E3-A28C-9B97312449E7}"/>
            </c:ext>
          </c:extLst>
        </c:ser>
        <c:ser>
          <c:idx val="52"/>
          <c:order val="52"/>
          <c:tx>
            <c:v>Series53</c:v>
          </c:tx>
          <c:spPr>
            <a:solidFill>
              <a:schemeClr val="accent5">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19</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4-3B57-45E3-A28C-9B97312449E7}"/>
            </c:ext>
          </c:extLst>
        </c:ser>
        <c:ser>
          <c:idx val="53"/>
          <c:order val="53"/>
          <c:tx>
            <c:v>Series54</c:v>
          </c:tx>
          <c:spPr>
            <a:solidFill>
              <a:schemeClr val="accent6">
                <a:lumMod val="50000"/>
                <a:lumOff val="5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20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20</c:v>
              </c:pt>
              <c:pt idx="37">
                <c:v>0</c:v>
              </c:pt>
              <c:pt idx="38">
                <c:v>20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5-3B57-45E3-A28C-9B97312449E7}"/>
            </c:ext>
          </c:extLst>
        </c:ser>
        <c:ser>
          <c:idx val="54"/>
          <c:order val="54"/>
          <c:tx>
            <c:v>Series55</c:v>
          </c:tx>
          <c:spPr>
            <a:solidFill>
              <a:schemeClr val="accent1"/>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18</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6-3B57-45E3-A28C-9B97312449E7}"/>
            </c:ext>
          </c:extLst>
        </c:ser>
        <c:ser>
          <c:idx val="55"/>
          <c:order val="55"/>
          <c:tx>
            <c:v>Series56</c:v>
          </c:tx>
          <c:spPr>
            <a:solidFill>
              <a:schemeClr val="accent2"/>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13</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13</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7-3B57-45E3-A28C-9B97312449E7}"/>
            </c:ext>
          </c:extLst>
        </c:ser>
        <c:ser>
          <c:idx val="56"/>
          <c:order val="56"/>
          <c:tx>
            <c:v>Series57</c:v>
          </c:tx>
          <c:spPr>
            <a:solidFill>
              <a:schemeClr val="accent3"/>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19</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8-3B57-45E3-A28C-9B97312449E7}"/>
            </c:ext>
          </c:extLst>
        </c:ser>
        <c:ser>
          <c:idx val="57"/>
          <c:order val="57"/>
          <c:tx>
            <c:v>Series58</c:v>
          </c:tx>
          <c:spPr>
            <a:solidFill>
              <a:schemeClr val="accent4"/>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14</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20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9-3B57-45E3-A28C-9B97312449E7}"/>
            </c:ext>
          </c:extLst>
        </c:ser>
        <c:ser>
          <c:idx val="58"/>
          <c:order val="58"/>
          <c:tx>
            <c:v>Series59</c:v>
          </c:tx>
          <c:spPr>
            <a:solidFill>
              <a:schemeClr val="accent5"/>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A-3B57-45E3-A28C-9B97312449E7}"/>
            </c:ext>
          </c:extLst>
        </c:ser>
        <c:ser>
          <c:idx val="59"/>
          <c:order val="59"/>
          <c:tx>
            <c:v>Series60</c:v>
          </c:tx>
          <c:spPr>
            <a:solidFill>
              <a:schemeClr val="accent6"/>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13</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B-3B57-45E3-A28C-9B97312449E7}"/>
            </c:ext>
          </c:extLst>
        </c:ser>
        <c:ser>
          <c:idx val="60"/>
          <c:order val="60"/>
          <c:tx>
            <c:v>Series61</c:v>
          </c:tx>
          <c:spPr>
            <a:solidFill>
              <a:schemeClr val="accent1">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19</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C-3B57-45E3-A28C-9B97312449E7}"/>
            </c:ext>
          </c:extLst>
        </c:ser>
        <c:ser>
          <c:idx val="61"/>
          <c:order val="61"/>
          <c:tx>
            <c:v>Series62</c:v>
          </c:tx>
          <c:spPr>
            <a:solidFill>
              <a:schemeClr val="accent2">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14</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14</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D-3B57-45E3-A28C-9B97312449E7}"/>
            </c:ext>
          </c:extLst>
        </c:ser>
        <c:ser>
          <c:idx val="62"/>
          <c:order val="62"/>
          <c:tx>
            <c:v>Series63</c:v>
          </c:tx>
          <c:spPr>
            <a:solidFill>
              <a:schemeClr val="accent3">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20</c:v>
              </c:pt>
              <c:pt idx="48">
                <c:v>0</c:v>
              </c:pt>
              <c:pt idx="49">
                <c:v>20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E-3B57-45E3-A28C-9B97312449E7}"/>
            </c:ext>
          </c:extLst>
        </c:ser>
        <c:ser>
          <c:idx val="63"/>
          <c:order val="63"/>
          <c:tx>
            <c:v>Series64</c:v>
          </c:tx>
          <c:spPr>
            <a:solidFill>
              <a:schemeClr val="accent4">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15</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15</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F-3B57-45E3-A28C-9B97312449E7}"/>
            </c:ext>
          </c:extLst>
        </c:ser>
        <c:ser>
          <c:idx val="64"/>
          <c:order val="64"/>
          <c:tx>
            <c:v>Series65</c:v>
          </c:tx>
          <c:spPr>
            <a:solidFill>
              <a:schemeClr val="accent5">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17</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0-3B57-45E3-A28C-9B97312449E7}"/>
            </c:ext>
          </c:extLst>
        </c:ser>
        <c:ser>
          <c:idx val="65"/>
          <c:order val="65"/>
          <c:tx>
            <c:v>Series66</c:v>
          </c:tx>
          <c:spPr>
            <a:solidFill>
              <a:schemeClr val="accent6">
                <a:lumMod val="6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19</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1-3B57-45E3-A28C-9B97312449E7}"/>
            </c:ext>
          </c:extLst>
        </c:ser>
        <c:ser>
          <c:idx val="66"/>
          <c:order val="66"/>
          <c:tx>
            <c:v>Series67</c:v>
          </c:tx>
          <c:spPr>
            <a:solidFill>
              <a:schemeClr val="accent1">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20</c:v>
              </c:pt>
              <c:pt idx="99">
                <c:v>0</c:v>
              </c:pt>
            </c:numLit>
          </c:val>
          <c:extLst>
            <c:ext xmlns:c16="http://schemas.microsoft.com/office/drawing/2014/chart" uri="{C3380CC4-5D6E-409C-BE32-E72D297353CC}">
              <c16:uniqueId val="{00000042-3B57-45E3-A28C-9B97312449E7}"/>
            </c:ext>
          </c:extLst>
        </c:ser>
        <c:ser>
          <c:idx val="67"/>
          <c:order val="67"/>
          <c:tx>
            <c:v>Series68</c:v>
          </c:tx>
          <c:spPr>
            <a:solidFill>
              <a:schemeClr val="accent2">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18</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3-3B57-45E3-A28C-9B97312449E7}"/>
            </c:ext>
          </c:extLst>
        </c:ser>
        <c:ser>
          <c:idx val="68"/>
          <c:order val="68"/>
          <c:tx>
            <c:v>Series69</c:v>
          </c:tx>
          <c:spPr>
            <a:solidFill>
              <a:schemeClr val="accent3">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4-3B57-45E3-A28C-9B97312449E7}"/>
            </c:ext>
          </c:extLst>
        </c:ser>
        <c:ser>
          <c:idx val="69"/>
          <c:order val="69"/>
          <c:tx>
            <c:v>Series70</c:v>
          </c:tx>
          <c:spPr>
            <a:solidFill>
              <a:schemeClr val="accent4">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5-3B57-45E3-A28C-9B97312449E7}"/>
            </c:ext>
          </c:extLst>
        </c:ser>
        <c:ser>
          <c:idx val="70"/>
          <c:order val="70"/>
          <c:tx>
            <c:v>Series71</c:v>
          </c:tx>
          <c:spPr>
            <a:solidFill>
              <a:schemeClr val="accent5">
                <a:lumMod val="80000"/>
                <a:lumOff val="20000"/>
              </a:schemeClr>
            </a:solidFill>
            <a:ln>
              <a:noFill/>
            </a:ln>
            <a:effectLst/>
          </c:spPr>
          <c:invertIfNegative val="0"/>
          <c:cat>
            <c:numLit>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20</c:v>
              </c:pt>
              <c:pt idx="95">
                <c:v>0</c:v>
              </c:pt>
              <c:pt idx="96">
                <c:v>0</c:v>
              </c:pt>
              <c:pt idx="97">
                <c:v>0</c:v>
              </c:pt>
              <c:pt idx="98">
                <c:v>0</c:v>
              </c:pt>
              <c:pt idx="99">
                <c:v>0</c:v>
              </c:pt>
            </c:numLit>
          </c:val>
          <c:extLst>
            <c:ext xmlns:c16="http://schemas.microsoft.com/office/drawing/2014/chart" uri="{C3380CC4-5D6E-409C-BE32-E72D297353CC}">
              <c16:uniqueId val="{00000046-3B57-45E3-A28C-9B97312449E7}"/>
            </c:ext>
          </c:extLst>
        </c:ser>
        <c:dLbls>
          <c:showLegendKey val="0"/>
          <c:showVal val="0"/>
          <c:showCatName val="0"/>
          <c:showSerName val="0"/>
          <c:showPercent val="0"/>
          <c:showBubbleSize val="0"/>
        </c:dLbls>
        <c:gapWidth val="219"/>
        <c:overlap val="-27"/>
        <c:axId val="356261424"/>
        <c:axId val="356246064"/>
      </c:barChart>
      <c:catAx>
        <c:axId val="3562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6246064"/>
        <c:crosses val="autoZero"/>
        <c:auto val="1"/>
        <c:lblAlgn val="ctr"/>
        <c:lblOffset val="100"/>
        <c:noMultiLvlLbl val="0"/>
      </c:catAx>
      <c:valAx>
        <c:axId val="3562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626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SUMMARY OF SALES BY DAY,</a:t>
            </a:r>
            <a:r>
              <a:rPr lang="en-US" sz="900" b="1" baseline="0"/>
              <a:t> </a:t>
            </a:r>
            <a:r>
              <a:rPr lang="en-US" sz="900" b="1"/>
              <a:t>SALES PERSON, AMOUNT AND</a:t>
            </a:r>
            <a:r>
              <a:rPr lang="en-US" sz="900" b="1" baseline="0"/>
              <a:t> </a:t>
            </a:r>
            <a:r>
              <a:rPr lang="en-US" sz="900" b="1"/>
              <a:t>COUNT</a:t>
            </a:r>
          </a:p>
        </c:rich>
      </c:tx>
      <c:layout>
        <c:manualLayout>
          <c:xMode val="edge"/>
          <c:yMode val="edge"/>
          <c:x val="0.12753574984161462"/>
          <c:y val="2.0202009490172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69096651442322E-2"/>
          <c:y val="7.3098929929780787E-2"/>
          <c:w val="0.64913067949094405"/>
          <c:h val="0.42936069642878349"/>
        </c:manualLayout>
      </c:layout>
      <c:barChart>
        <c:barDir val="col"/>
        <c:grouping val="clustered"/>
        <c:varyColors val="0"/>
        <c:ser>
          <c:idx val="0"/>
          <c:order val="0"/>
          <c:tx>
            <c:v>₦59,500.00</c:v>
          </c:tx>
          <c:spPr>
            <a:solidFill>
              <a:schemeClr val="accent1"/>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17</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0-30A6-4E04-9C41-FECAFC8F7125}"/>
            </c:ext>
          </c:extLst>
        </c:ser>
        <c:ser>
          <c:idx val="1"/>
          <c:order val="1"/>
          <c:tx>
            <c:v>₦125,000.00</c:v>
          </c:tx>
          <c:spPr>
            <a:solidFill>
              <a:schemeClr val="accent2"/>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1-30A6-4E04-9C41-FECAFC8F7125}"/>
            </c:ext>
          </c:extLst>
        </c:ser>
        <c:ser>
          <c:idx val="2"/>
          <c:order val="2"/>
          <c:tx>
            <c:v>₦130,000.00</c:v>
          </c:tx>
          <c:spPr>
            <a:solidFill>
              <a:schemeClr val="accent3"/>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2</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2-30A6-4E04-9C41-FECAFC8F7125}"/>
            </c:ext>
          </c:extLst>
        </c:ser>
        <c:ser>
          <c:idx val="3"/>
          <c:order val="3"/>
          <c:tx>
            <c:v>₦150,000.00</c:v>
          </c:tx>
          <c:spPr>
            <a:solidFill>
              <a:schemeClr val="accent4"/>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0</c:v>
              </c:pt>
              <c:pt idx="57">
                <c:v>0</c:v>
              </c:pt>
              <c:pt idx="58">
                <c:v>0</c:v>
              </c:pt>
              <c:pt idx="59">
                <c:v>0</c:v>
              </c:pt>
              <c:pt idx="60">
                <c:v>1</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3-30A6-4E04-9C41-FECAFC8F7125}"/>
            </c:ext>
          </c:extLst>
        </c:ser>
        <c:ser>
          <c:idx val="4"/>
          <c:order val="4"/>
          <c:tx>
            <c:v>₦170,000.00</c:v>
          </c:tx>
          <c:spPr>
            <a:solidFill>
              <a:schemeClr val="accent5"/>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2</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2</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4-30A6-4E04-9C41-FECAFC8F7125}"/>
            </c:ext>
          </c:extLst>
        </c:ser>
        <c:ser>
          <c:idx val="5"/>
          <c:order val="5"/>
          <c:tx>
            <c:v>₦294,960.00</c:v>
          </c:tx>
          <c:spPr>
            <a:solidFill>
              <a:schemeClr val="accent6"/>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4</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5-30A6-4E04-9C41-FECAFC8F7125}"/>
            </c:ext>
          </c:extLst>
        </c:ser>
        <c:ser>
          <c:idx val="6"/>
          <c:order val="6"/>
          <c:tx>
            <c:v>₦325,000.00</c:v>
          </c:tx>
          <c:spPr>
            <a:solidFill>
              <a:schemeClr val="accent1">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6-30A6-4E04-9C41-FECAFC8F7125}"/>
            </c:ext>
          </c:extLst>
        </c:ser>
        <c:ser>
          <c:idx val="7"/>
          <c:order val="7"/>
          <c:tx>
            <c:v>₦350,000.00</c:v>
          </c:tx>
          <c:spPr>
            <a:solidFill>
              <a:schemeClr val="accent2">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2</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7-30A6-4E04-9C41-FECAFC8F7125}"/>
            </c:ext>
          </c:extLst>
        </c:ser>
        <c:ser>
          <c:idx val="8"/>
          <c:order val="8"/>
          <c:tx>
            <c:v>₦425,000.00</c:v>
          </c:tx>
          <c:spPr>
            <a:solidFill>
              <a:schemeClr val="accent3">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5</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8-30A6-4E04-9C41-FECAFC8F7125}"/>
            </c:ext>
          </c:extLst>
        </c:ser>
        <c:ser>
          <c:idx val="9"/>
          <c:order val="9"/>
          <c:tx>
            <c:v>₦450,000.00</c:v>
          </c:tx>
          <c:spPr>
            <a:solidFill>
              <a:schemeClr val="accent4">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3</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9-30A6-4E04-9C41-FECAFC8F7125}"/>
            </c:ext>
          </c:extLst>
        </c:ser>
        <c:ser>
          <c:idx val="10"/>
          <c:order val="10"/>
          <c:tx>
            <c:v>₦510,000.00</c:v>
          </c:tx>
          <c:spPr>
            <a:solidFill>
              <a:schemeClr val="accent5">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6</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A-30A6-4E04-9C41-FECAFC8F7125}"/>
            </c:ext>
          </c:extLst>
        </c:ser>
        <c:ser>
          <c:idx val="11"/>
          <c:order val="11"/>
          <c:tx>
            <c:v>₦525,000.00</c:v>
          </c:tx>
          <c:spPr>
            <a:solidFill>
              <a:schemeClr val="accent6">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3</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B-30A6-4E04-9C41-FECAFC8F7125}"/>
            </c:ext>
          </c:extLst>
        </c:ser>
        <c:ser>
          <c:idx val="12"/>
          <c:order val="12"/>
          <c:tx>
            <c:v>₦595,000.00</c:v>
          </c:tx>
          <c:spPr>
            <a:solidFill>
              <a:schemeClr val="accent1">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C-30A6-4E04-9C41-FECAFC8F7125}"/>
            </c:ext>
          </c:extLst>
        </c:ser>
        <c:ser>
          <c:idx val="13"/>
          <c:order val="13"/>
          <c:tx>
            <c:v>₦600,000.00</c:v>
          </c:tx>
          <c:spPr>
            <a:solidFill>
              <a:schemeClr val="accent2">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4</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D-30A6-4E04-9C41-FECAFC8F7125}"/>
            </c:ext>
          </c:extLst>
        </c:ser>
        <c:ser>
          <c:idx val="14"/>
          <c:order val="14"/>
          <c:tx>
            <c:v>₦624,631.00</c:v>
          </c:tx>
          <c:spPr>
            <a:solidFill>
              <a:schemeClr val="accent3">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7</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E-30A6-4E04-9C41-FECAFC8F7125}"/>
            </c:ext>
          </c:extLst>
        </c:ser>
        <c:ser>
          <c:idx val="15"/>
          <c:order val="15"/>
          <c:tx>
            <c:v>₦630,000.00</c:v>
          </c:tx>
          <c:spPr>
            <a:solidFill>
              <a:schemeClr val="accent4">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18</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F-30A6-4E04-9C41-FECAFC8F7125}"/>
            </c:ext>
          </c:extLst>
        </c:ser>
        <c:ser>
          <c:idx val="16"/>
          <c:order val="16"/>
          <c:tx>
            <c:v>₦650,000.00</c:v>
          </c:tx>
          <c:spPr>
            <a:solidFill>
              <a:schemeClr val="accent5">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10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0-30A6-4E04-9C41-FECAFC8F7125}"/>
            </c:ext>
          </c:extLst>
        </c:ser>
        <c:ser>
          <c:idx val="17"/>
          <c:order val="17"/>
          <c:tx>
            <c:v>₦682,385.00</c:v>
          </c:tx>
          <c:spPr>
            <a:solidFill>
              <a:schemeClr val="accent6">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1-30A6-4E04-9C41-FECAFC8F7125}"/>
            </c:ext>
          </c:extLst>
        </c:ser>
        <c:ser>
          <c:idx val="18"/>
          <c:order val="18"/>
          <c:tx>
            <c:v>₦715,000.00</c:v>
          </c:tx>
          <c:spPr>
            <a:solidFill>
              <a:schemeClr val="accent1">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2-30A6-4E04-9C41-FECAFC8F7125}"/>
            </c:ext>
          </c:extLst>
        </c:ser>
        <c:ser>
          <c:idx val="19"/>
          <c:order val="19"/>
          <c:tx>
            <c:v>₦720,000.00</c:v>
          </c:tx>
          <c:spPr>
            <a:solidFill>
              <a:schemeClr val="accent2">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3-30A6-4E04-9C41-FECAFC8F7125}"/>
            </c:ext>
          </c:extLst>
        </c:ser>
        <c:ser>
          <c:idx val="20"/>
          <c:order val="20"/>
          <c:tx>
            <c:v>₦750,000.00</c:v>
          </c:tx>
          <c:spPr>
            <a:solidFill>
              <a:schemeClr val="accent3">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3</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4-30A6-4E04-9C41-FECAFC8F7125}"/>
            </c:ext>
          </c:extLst>
        </c:ser>
        <c:ser>
          <c:idx val="21"/>
          <c:order val="21"/>
          <c:tx>
            <c:v>₦752,856.00</c:v>
          </c:tx>
          <c:spPr>
            <a:solidFill>
              <a:schemeClr val="accent4">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13</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5-30A6-4E04-9C41-FECAFC8F7125}"/>
            </c:ext>
          </c:extLst>
        </c:ser>
        <c:ser>
          <c:idx val="22"/>
          <c:order val="22"/>
          <c:tx>
            <c:v>₦780,000.00</c:v>
          </c:tx>
          <c:spPr>
            <a:solidFill>
              <a:schemeClr val="accent5">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12</c:v>
              </c:pt>
              <c:pt idx="96">
                <c:v>0</c:v>
              </c:pt>
              <c:pt idx="97">
                <c:v>0</c:v>
              </c:pt>
              <c:pt idx="98">
                <c:v>0</c:v>
              </c:pt>
              <c:pt idx="99">
                <c:v>0</c:v>
              </c:pt>
            </c:numLit>
          </c:val>
          <c:extLst>
            <c:ext xmlns:c16="http://schemas.microsoft.com/office/drawing/2014/chart" uri="{C3380CC4-5D6E-409C-BE32-E72D297353CC}">
              <c16:uniqueId val="{00000016-30A6-4E04-9C41-FECAFC8F7125}"/>
            </c:ext>
          </c:extLst>
        </c:ser>
        <c:ser>
          <c:idx val="23"/>
          <c:order val="23"/>
          <c:tx>
            <c:v>₦850,000.00</c:v>
          </c:tx>
          <c:spPr>
            <a:solidFill>
              <a:schemeClr val="accent6">
                <a:lumMod val="8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10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7-30A6-4E04-9C41-FECAFC8F7125}"/>
            </c:ext>
          </c:extLst>
        </c:ser>
        <c:ser>
          <c:idx val="24"/>
          <c:order val="24"/>
          <c:tx>
            <c:v>₦875,000.00</c:v>
          </c:tx>
          <c:spPr>
            <a:solidFill>
              <a:schemeClr val="accent1">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8-30A6-4E04-9C41-FECAFC8F7125}"/>
            </c:ext>
          </c:extLst>
        </c:ser>
        <c:ser>
          <c:idx val="25"/>
          <c:order val="25"/>
          <c:tx>
            <c:v>₦900,000.00</c:v>
          </c:tx>
          <c:spPr>
            <a:solidFill>
              <a:schemeClr val="accent2">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5</c:v>
              </c:pt>
              <c:pt idx="88">
                <c:v>0</c:v>
              </c:pt>
              <c:pt idx="89">
                <c:v>0</c:v>
              </c:pt>
              <c:pt idx="90">
                <c:v>0</c:v>
              </c:pt>
              <c:pt idx="91">
                <c:v>0</c:v>
              </c:pt>
              <c:pt idx="92">
                <c:v>0</c:v>
              </c:pt>
              <c:pt idx="93">
                <c:v>6</c:v>
              </c:pt>
              <c:pt idx="94">
                <c:v>0</c:v>
              </c:pt>
              <c:pt idx="95">
                <c:v>0</c:v>
              </c:pt>
              <c:pt idx="96">
                <c:v>0</c:v>
              </c:pt>
              <c:pt idx="97">
                <c:v>0</c:v>
              </c:pt>
              <c:pt idx="98">
                <c:v>0</c:v>
              </c:pt>
              <c:pt idx="99">
                <c:v>0</c:v>
              </c:pt>
            </c:numLit>
          </c:val>
          <c:extLst>
            <c:ext xmlns:c16="http://schemas.microsoft.com/office/drawing/2014/chart" uri="{C3380CC4-5D6E-409C-BE32-E72D297353CC}">
              <c16:uniqueId val="{00000019-30A6-4E04-9C41-FECAFC8F7125}"/>
            </c:ext>
          </c:extLst>
        </c:ser>
        <c:ser>
          <c:idx val="26"/>
          <c:order val="26"/>
          <c:tx>
            <c:v>₦935,000.00</c:v>
          </c:tx>
          <c:spPr>
            <a:solidFill>
              <a:schemeClr val="accent3">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A-30A6-4E04-9C41-FECAFC8F7125}"/>
            </c:ext>
          </c:extLst>
        </c:ser>
        <c:ser>
          <c:idx val="27"/>
          <c:order val="27"/>
          <c:tx>
            <c:v>₦1,050,000.00</c:v>
          </c:tx>
          <c:spPr>
            <a:solidFill>
              <a:schemeClr val="accent4">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B-30A6-4E04-9C41-FECAFC8F7125}"/>
            </c:ext>
          </c:extLst>
        </c:ser>
        <c:ser>
          <c:idx val="28"/>
          <c:order val="28"/>
          <c:tx>
            <c:v>₦1,105,000.00</c:v>
          </c:tx>
          <c:spPr>
            <a:solidFill>
              <a:schemeClr val="accent5">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13</c:v>
              </c:pt>
              <c:pt idx="14">
                <c:v>0</c:v>
              </c:pt>
              <c:pt idx="15">
                <c:v>0</c:v>
              </c:pt>
              <c:pt idx="16">
                <c:v>0</c:v>
              </c:pt>
              <c:pt idx="17">
                <c:v>0</c:v>
              </c:pt>
              <c:pt idx="18">
                <c:v>0</c:v>
              </c:pt>
              <c:pt idx="19">
                <c:v>0</c:v>
              </c:pt>
              <c:pt idx="20">
                <c:v>17</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C-30A6-4E04-9C41-FECAFC8F7125}"/>
            </c:ext>
          </c:extLst>
        </c:ser>
        <c:ser>
          <c:idx val="29"/>
          <c:order val="29"/>
          <c:tx>
            <c:v>₦1,170,000.00</c:v>
          </c:tx>
          <c:spPr>
            <a:solidFill>
              <a:schemeClr val="accent6">
                <a:lumMod val="60000"/>
                <a:lumOff val="4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18</c:v>
              </c:pt>
              <c:pt idx="31">
                <c:v>0</c:v>
              </c:pt>
              <c:pt idx="32">
                <c:v>18</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18</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D-30A6-4E04-9C41-FECAFC8F7125}"/>
            </c:ext>
          </c:extLst>
        </c:ser>
        <c:ser>
          <c:idx val="30"/>
          <c:order val="30"/>
          <c:tx>
            <c:v>₦1,200,000.00</c:v>
          </c:tx>
          <c:spPr>
            <a:solidFill>
              <a:schemeClr val="accent1">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8</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E-30A6-4E04-9C41-FECAFC8F7125}"/>
            </c:ext>
          </c:extLst>
        </c:ser>
        <c:ser>
          <c:idx val="31"/>
          <c:order val="31"/>
          <c:tx>
            <c:v>₦1,235,000.00</c:v>
          </c:tx>
          <c:spPr>
            <a:solidFill>
              <a:schemeClr val="accent2">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19</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1F-30A6-4E04-9C41-FECAFC8F7125}"/>
            </c:ext>
          </c:extLst>
        </c:ser>
        <c:ser>
          <c:idx val="32"/>
          <c:order val="32"/>
          <c:tx>
            <c:v>₦1,250,000.00</c:v>
          </c:tx>
          <c:spPr>
            <a:solidFill>
              <a:schemeClr val="accent3">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5</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0-30A6-4E04-9C41-FECAFC8F7125}"/>
            </c:ext>
          </c:extLst>
        </c:ser>
        <c:ser>
          <c:idx val="33"/>
          <c:order val="33"/>
          <c:tx>
            <c:v>₦1,350,000.00</c:v>
          </c:tx>
          <c:spPr>
            <a:solidFill>
              <a:schemeClr val="accent4">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9</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1-30A6-4E04-9C41-FECAFC8F7125}"/>
            </c:ext>
          </c:extLst>
        </c:ser>
        <c:ser>
          <c:idx val="34"/>
          <c:order val="34"/>
          <c:tx>
            <c:v>₦1,400,000.00</c:v>
          </c:tx>
          <c:spPr>
            <a:solidFill>
              <a:schemeClr val="accent5">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4</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8</c:v>
              </c:pt>
              <c:pt idx="93">
                <c:v>0</c:v>
              </c:pt>
              <c:pt idx="94">
                <c:v>0</c:v>
              </c:pt>
              <c:pt idx="95">
                <c:v>0</c:v>
              </c:pt>
              <c:pt idx="96">
                <c:v>8</c:v>
              </c:pt>
              <c:pt idx="97">
                <c:v>0</c:v>
              </c:pt>
              <c:pt idx="98">
                <c:v>0</c:v>
              </c:pt>
              <c:pt idx="99">
                <c:v>0</c:v>
              </c:pt>
            </c:numLit>
          </c:val>
          <c:extLst>
            <c:ext xmlns:c16="http://schemas.microsoft.com/office/drawing/2014/chart" uri="{C3380CC4-5D6E-409C-BE32-E72D297353CC}">
              <c16:uniqueId val="{00000022-30A6-4E04-9C41-FECAFC8F7125}"/>
            </c:ext>
          </c:extLst>
        </c:ser>
        <c:ser>
          <c:idx val="35"/>
          <c:order val="35"/>
          <c:tx>
            <c:v>₦1,440,000.00</c:v>
          </c:tx>
          <c:spPr>
            <a:solidFill>
              <a:schemeClr val="accent6">
                <a:lumMod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3-30A6-4E04-9C41-FECAFC8F7125}"/>
            </c:ext>
          </c:extLst>
        </c:ser>
        <c:ser>
          <c:idx val="36"/>
          <c:order val="36"/>
          <c:tx>
            <c:v>₦1,500,000.00</c:v>
          </c:tx>
          <c:spPr>
            <a:solidFill>
              <a:schemeClr val="accent1">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4-30A6-4E04-9C41-FECAFC8F7125}"/>
            </c:ext>
          </c:extLst>
        </c:ser>
        <c:ser>
          <c:idx val="37"/>
          <c:order val="37"/>
          <c:tx>
            <c:v>₦1,530,000.00</c:v>
          </c:tx>
          <c:spPr>
            <a:solidFill>
              <a:schemeClr val="accent2">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18</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18</c:v>
              </c:pt>
              <c:pt idx="98">
                <c:v>0</c:v>
              </c:pt>
              <c:pt idx="99">
                <c:v>0</c:v>
              </c:pt>
            </c:numLit>
          </c:val>
          <c:extLst>
            <c:ext xmlns:c16="http://schemas.microsoft.com/office/drawing/2014/chart" uri="{C3380CC4-5D6E-409C-BE32-E72D297353CC}">
              <c16:uniqueId val="{00000025-30A6-4E04-9C41-FECAFC8F7125}"/>
            </c:ext>
          </c:extLst>
        </c:ser>
        <c:ser>
          <c:idx val="38"/>
          <c:order val="38"/>
          <c:tx>
            <c:v>₦1,620,000.00</c:v>
          </c:tx>
          <c:spPr>
            <a:solidFill>
              <a:schemeClr val="accent3">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6-30A6-4E04-9C41-FECAFC8F7125}"/>
            </c:ext>
          </c:extLst>
        </c:ser>
        <c:ser>
          <c:idx val="39"/>
          <c:order val="39"/>
          <c:tx>
            <c:v>₦1,650,000.00</c:v>
          </c:tx>
          <c:spPr>
            <a:solidFill>
              <a:schemeClr val="accent4">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7-30A6-4E04-9C41-FECAFC8F7125}"/>
            </c:ext>
          </c:extLst>
        </c:ser>
        <c:ser>
          <c:idx val="40"/>
          <c:order val="40"/>
          <c:tx>
            <c:v>₦1,750,000.00</c:v>
          </c:tx>
          <c:spPr>
            <a:solidFill>
              <a:schemeClr val="accent5">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10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8-30A6-4E04-9C41-FECAFC8F7125}"/>
            </c:ext>
          </c:extLst>
        </c:ser>
        <c:ser>
          <c:idx val="41"/>
          <c:order val="41"/>
          <c:tx>
            <c:v>₦1,800,000.00</c:v>
          </c:tx>
          <c:spPr>
            <a:solidFill>
              <a:schemeClr val="accent6">
                <a:lumMod val="70000"/>
                <a:lumOff val="3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12</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9-30A6-4E04-9C41-FECAFC8F7125}"/>
            </c:ext>
          </c:extLst>
        </c:ser>
        <c:ser>
          <c:idx val="42"/>
          <c:order val="42"/>
          <c:tx>
            <c:v>₦2,100,000.00</c:v>
          </c:tx>
          <c:spPr>
            <a:solidFill>
              <a:schemeClr val="accent1">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12</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6</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A-30A6-4E04-9C41-FECAFC8F7125}"/>
            </c:ext>
          </c:extLst>
        </c:ser>
        <c:ser>
          <c:idx val="43"/>
          <c:order val="43"/>
          <c:tx>
            <c:v>₦2,340,000.00</c:v>
          </c:tx>
          <c:spPr>
            <a:solidFill>
              <a:schemeClr val="accent2">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13</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B-30A6-4E04-9C41-FECAFC8F7125}"/>
            </c:ext>
          </c:extLst>
        </c:ser>
        <c:ser>
          <c:idx val="44"/>
          <c:order val="44"/>
          <c:tx>
            <c:v>₦2,400,000.00</c:v>
          </c:tx>
          <c:spPr>
            <a:solidFill>
              <a:schemeClr val="accent3">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16</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C-30A6-4E04-9C41-FECAFC8F7125}"/>
            </c:ext>
          </c:extLst>
        </c:ser>
        <c:ser>
          <c:idx val="45"/>
          <c:order val="45"/>
          <c:tx>
            <c:v>₦2,450,000.00</c:v>
          </c:tx>
          <c:spPr>
            <a:solidFill>
              <a:schemeClr val="accent4">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14</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D-30A6-4E04-9C41-FECAFC8F7125}"/>
            </c:ext>
          </c:extLst>
        </c:ser>
        <c:ser>
          <c:idx val="46"/>
          <c:order val="46"/>
          <c:tx>
            <c:v>₦2,520,000.00</c:v>
          </c:tx>
          <c:spPr>
            <a:solidFill>
              <a:schemeClr val="accent5">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14</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E-30A6-4E04-9C41-FECAFC8F7125}"/>
            </c:ext>
          </c:extLst>
        </c:ser>
        <c:ser>
          <c:idx val="47"/>
          <c:order val="47"/>
          <c:tx>
            <c:v>₦2,550,000.00</c:v>
          </c:tx>
          <c:spPr>
            <a:solidFill>
              <a:schemeClr val="accent6">
                <a:lumMod val="7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17</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2F-30A6-4E04-9C41-FECAFC8F7125}"/>
            </c:ext>
          </c:extLst>
        </c:ser>
        <c:ser>
          <c:idx val="48"/>
          <c:order val="48"/>
          <c:tx>
            <c:v>₦2,700,000.00</c:v>
          </c:tx>
          <c:spPr>
            <a:solidFill>
              <a:schemeClr val="accent1">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18</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18</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0-30A6-4E04-9C41-FECAFC8F7125}"/>
            </c:ext>
          </c:extLst>
        </c:ser>
        <c:ser>
          <c:idx val="49"/>
          <c:order val="49"/>
          <c:tx>
            <c:v>₦2,800,000.00</c:v>
          </c:tx>
          <c:spPr>
            <a:solidFill>
              <a:schemeClr val="accent2">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8</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8</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1-30A6-4E04-9C41-FECAFC8F7125}"/>
            </c:ext>
          </c:extLst>
        </c:ser>
        <c:ser>
          <c:idx val="50"/>
          <c:order val="50"/>
          <c:tx>
            <c:v>₦2,850,000.00</c:v>
          </c:tx>
          <c:spPr>
            <a:solidFill>
              <a:schemeClr val="accent3">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19</c:v>
              </c:pt>
            </c:numLit>
          </c:val>
          <c:extLst>
            <c:ext xmlns:c16="http://schemas.microsoft.com/office/drawing/2014/chart" uri="{C3380CC4-5D6E-409C-BE32-E72D297353CC}">
              <c16:uniqueId val="{00000032-30A6-4E04-9C41-FECAFC8F7125}"/>
            </c:ext>
          </c:extLst>
        </c:ser>
        <c:ser>
          <c:idx val="51"/>
          <c:order val="51"/>
          <c:tx>
            <c:v>₦2,975,000.00</c:v>
          </c:tx>
          <c:spPr>
            <a:solidFill>
              <a:schemeClr val="accent4">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17</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3-30A6-4E04-9C41-FECAFC8F7125}"/>
            </c:ext>
          </c:extLst>
        </c:ser>
        <c:ser>
          <c:idx val="52"/>
          <c:order val="52"/>
          <c:tx>
            <c:v>₦2,991,113.00</c:v>
          </c:tx>
          <c:spPr>
            <a:solidFill>
              <a:schemeClr val="accent5">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19</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4-30A6-4E04-9C41-FECAFC8F7125}"/>
            </c:ext>
          </c:extLst>
        </c:ser>
        <c:ser>
          <c:idx val="53"/>
          <c:order val="53"/>
          <c:tx>
            <c:v>₦3,000,000.00</c:v>
          </c:tx>
          <c:spPr>
            <a:solidFill>
              <a:schemeClr val="accent6">
                <a:lumMod val="50000"/>
                <a:lumOff val="5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20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20</c:v>
              </c:pt>
              <c:pt idx="37">
                <c:v>0</c:v>
              </c:pt>
              <c:pt idx="38">
                <c:v>20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5-30A6-4E04-9C41-FECAFC8F7125}"/>
            </c:ext>
          </c:extLst>
        </c:ser>
        <c:ser>
          <c:idx val="54"/>
          <c:order val="54"/>
          <c:tx>
            <c:v>₦3,150,000.00</c:v>
          </c:tx>
          <c:spPr>
            <a:solidFill>
              <a:schemeClr val="accent1"/>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18</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6-30A6-4E04-9C41-FECAFC8F7125}"/>
            </c:ext>
          </c:extLst>
        </c:ser>
        <c:ser>
          <c:idx val="55"/>
          <c:order val="55"/>
          <c:tx>
            <c:v>₦3,250,000.00</c:v>
          </c:tx>
          <c:spPr>
            <a:solidFill>
              <a:schemeClr val="accent2"/>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13</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13</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7-30A6-4E04-9C41-FECAFC8F7125}"/>
            </c:ext>
          </c:extLst>
        </c:ser>
        <c:ser>
          <c:idx val="56"/>
          <c:order val="56"/>
          <c:tx>
            <c:v>₦3,325,000.00</c:v>
          </c:tx>
          <c:spPr>
            <a:solidFill>
              <a:schemeClr val="accent3"/>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19</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8-30A6-4E04-9C41-FECAFC8F7125}"/>
            </c:ext>
          </c:extLst>
        </c:ser>
        <c:ser>
          <c:idx val="57"/>
          <c:order val="57"/>
          <c:tx>
            <c:v>₦3,500,000.00</c:v>
          </c:tx>
          <c:spPr>
            <a:solidFill>
              <a:schemeClr val="accent4"/>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14</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20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9-30A6-4E04-9C41-FECAFC8F7125}"/>
            </c:ext>
          </c:extLst>
        </c:ser>
        <c:ser>
          <c:idx val="58"/>
          <c:order val="58"/>
          <c:tx>
            <c:v>₦3,850,000.00</c:v>
          </c:tx>
          <c:spPr>
            <a:solidFill>
              <a:schemeClr val="accent5"/>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A-30A6-4E04-9C41-FECAFC8F7125}"/>
            </c:ext>
          </c:extLst>
        </c:ser>
        <c:ser>
          <c:idx val="59"/>
          <c:order val="59"/>
          <c:tx>
            <c:v>₦4,550,000.00</c:v>
          </c:tx>
          <c:spPr>
            <a:solidFill>
              <a:schemeClr val="accent6"/>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13</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B-30A6-4E04-9C41-FECAFC8F7125}"/>
            </c:ext>
          </c:extLst>
        </c:ser>
        <c:ser>
          <c:idx val="60"/>
          <c:order val="60"/>
          <c:tx>
            <c:v>₦4,750,000.00</c:v>
          </c:tx>
          <c:spPr>
            <a:solidFill>
              <a:schemeClr val="accent1">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19</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C-30A6-4E04-9C41-FECAFC8F7125}"/>
            </c:ext>
          </c:extLst>
        </c:ser>
        <c:ser>
          <c:idx val="61"/>
          <c:order val="61"/>
          <c:tx>
            <c:v>₦4,900,000.00</c:v>
          </c:tx>
          <c:spPr>
            <a:solidFill>
              <a:schemeClr val="accent2">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14</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14</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D-30A6-4E04-9C41-FECAFC8F7125}"/>
            </c:ext>
          </c:extLst>
        </c:ser>
        <c:ser>
          <c:idx val="62"/>
          <c:order val="62"/>
          <c:tx>
            <c:v>₦5,000,000.00</c:v>
          </c:tx>
          <c:spPr>
            <a:solidFill>
              <a:schemeClr val="accent3">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20</c:v>
              </c:pt>
              <c:pt idx="48">
                <c:v>0</c:v>
              </c:pt>
              <c:pt idx="49">
                <c:v>20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E-30A6-4E04-9C41-FECAFC8F7125}"/>
            </c:ext>
          </c:extLst>
        </c:ser>
        <c:ser>
          <c:idx val="63"/>
          <c:order val="63"/>
          <c:tx>
            <c:v>₦5,250,000.00</c:v>
          </c:tx>
          <c:spPr>
            <a:solidFill>
              <a:schemeClr val="accent4">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15</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15</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3F-30A6-4E04-9C41-FECAFC8F7125}"/>
            </c:ext>
          </c:extLst>
        </c:ser>
        <c:ser>
          <c:idx val="64"/>
          <c:order val="64"/>
          <c:tx>
            <c:v>₦5,950,000.00</c:v>
          </c:tx>
          <c:spPr>
            <a:solidFill>
              <a:schemeClr val="accent5">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17</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0-30A6-4E04-9C41-FECAFC8F7125}"/>
            </c:ext>
          </c:extLst>
        </c:ser>
        <c:ser>
          <c:idx val="65"/>
          <c:order val="65"/>
          <c:tx>
            <c:v>₦6,650,000.00</c:v>
          </c:tx>
          <c:spPr>
            <a:solidFill>
              <a:schemeClr val="accent6">
                <a:lumMod val="6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19</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1-30A6-4E04-9C41-FECAFC8F7125}"/>
            </c:ext>
          </c:extLst>
        </c:ser>
        <c:ser>
          <c:idx val="66"/>
          <c:order val="66"/>
          <c:tx>
            <c:v>₦7,000,000.00</c:v>
          </c:tx>
          <c:spPr>
            <a:solidFill>
              <a:schemeClr val="accent1">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20</c:v>
              </c:pt>
              <c:pt idx="99">
                <c:v>0</c:v>
              </c:pt>
            </c:numLit>
          </c:val>
          <c:extLst>
            <c:ext xmlns:c16="http://schemas.microsoft.com/office/drawing/2014/chart" uri="{C3380CC4-5D6E-409C-BE32-E72D297353CC}">
              <c16:uniqueId val="{00000042-30A6-4E04-9C41-FECAFC8F7125}"/>
            </c:ext>
          </c:extLst>
        </c:ser>
        <c:ser>
          <c:idx val="67"/>
          <c:order val="67"/>
          <c:tx>
            <c:v>₦11,700,000.00</c:v>
          </c:tx>
          <c:spPr>
            <a:solidFill>
              <a:schemeClr val="accent2">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18</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3-30A6-4E04-9C41-FECAFC8F7125}"/>
            </c:ext>
          </c:extLst>
        </c:ser>
        <c:ser>
          <c:idx val="68"/>
          <c:order val="68"/>
          <c:tx>
            <c:v>₦20,000,000.00</c:v>
          </c:tx>
          <c:spPr>
            <a:solidFill>
              <a:schemeClr val="accent3">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4-30A6-4E04-9C41-FECAFC8F7125}"/>
            </c:ext>
          </c:extLst>
        </c:ser>
        <c:ser>
          <c:idx val="69"/>
          <c:order val="69"/>
          <c:tx>
            <c:v>₦27,500,000.00</c:v>
          </c:tx>
          <c:spPr>
            <a:solidFill>
              <a:schemeClr val="accent4">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45-30A6-4E04-9C41-FECAFC8F7125}"/>
            </c:ext>
          </c:extLst>
        </c:ser>
        <c:ser>
          <c:idx val="70"/>
          <c:order val="70"/>
          <c:tx>
            <c:v>₦50,000,000.00</c:v>
          </c:tx>
          <c:spPr>
            <a:solidFill>
              <a:schemeClr val="accent5">
                <a:lumMod val="80000"/>
                <a:lumOff val="20000"/>
              </a:schemeClr>
            </a:solidFill>
            <a:ln>
              <a:noFill/>
            </a:ln>
            <a:effectLst/>
          </c:spPr>
          <c:invertIfNegative val="0"/>
          <c:cat>
            <c:strLit>
              <c:ptCount val="100"/>
              <c:pt idx="0">
                <c:v>Aba Joel 22-Jul</c:v>
              </c:pt>
              <c:pt idx="1">
                <c:v>Aisha Bello 19-Jun</c:v>
              </c:pt>
              <c:pt idx="2">
                <c:v>Aisha Bello 24-Jun</c:v>
              </c:pt>
              <c:pt idx="3">
                <c:v>Aisha Bello 25-Jun</c:v>
              </c:pt>
              <c:pt idx="4">
                <c:v>Aisha Bello 24-Jul</c:v>
              </c:pt>
              <c:pt idx="5">
                <c:v>Aisha Bello 01-Aug</c:v>
              </c:pt>
              <c:pt idx="6">
                <c:v>Aisha Bello 04-Aug</c:v>
              </c:pt>
              <c:pt idx="7">
                <c:v>Aisha Bello 07-Aug</c:v>
              </c:pt>
              <c:pt idx="8">
                <c:v>Aisha Bello 09-Aug</c:v>
              </c:pt>
              <c:pt idx="9">
                <c:v>Aisha Bello 10-Aug</c:v>
              </c:pt>
              <c:pt idx="10">
                <c:v>Aisha Bello 12-Aug</c:v>
              </c:pt>
              <c:pt idx="11">
                <c:v>Aisha Bello 15-Aug</c:v>
              </c:pt>
              <c:pt idx="12">
                <c:v>Aisha Bello 26-Aug</c:v>
              </c:pt>
              <c:pt idx="13">
                <c:v>Aisha Bello 31-Aug</c:v>
              </c:pt>
              <c:pt idx="14">
                <c:v>Aisha Bello 06-Sep</c:v>
              </c:pt>
              <c:pt idx="15">
                <c:v>Aisha Bello 07-Sep</c:v>
              </c:pt>
              <c:pt idx="16">
                <c:v>Chinedu Nwosu 26-Jun</c:v>
              </c:pt>
              <c:pt idx="17">
                <c:v>Chinedu Nwosu 28-Jun</c:v>
              </c:pt>
              <c:pt idx="18">
                <c:v>Chinedu Nwosu 02-Jul</c:v>
              </c:pt>
              <c:pt idx="19">
                <c:v>Chinedu Nwosu 08-Jul</c:v>
              </c:pt>
              <c:pt idx="20">
                <c:v>Chinedu Nwosu 10-Jul</c:v>
              </c:pt>
              <c:pt idx="21">
                <c:v>Chinedu Nwosu 13-Jul</c:v>
              </c:pt>
              <c:pt idx="22">
                <c:v>Chinedu Nwosu 05-Aug</c:v>
              </c:pt>
              <c:pt idx="23">
                <c:v>Chinedu Nwosu 08-Aug</c:v>
              </c:pt>
              <c:pt idx="24">
                <c:v>Chinedu Nwosu 13-Aug</c:v>
              </c:pt>
              <c:pt idx="25">
                <c:v>Chinedu Nwosu 14-Aug</c:v>
              </c:pt>
              <c:pt idx="26">
                <c:v>Chinedu Nwosu 17-Aug</c:v>
              </c:pt>
              <c:pt idx="27">
                <c:v>Chinedu Nwosu 20-Aug</c:v>
              </c:pt>
              <c:pt idx="28">
                <c:v>Chinedu Nwosu 22-Aug</c:v>
              </c:pt>
              <c:pt idx="29">
                <c:v>Chinedu Nwosu 23-Aug</c:v>
              </c:pt>
              <c:pt idx="30">
                <c:v>Chinedu Nwosu 24-Aug</c:v>
              </c:pt>
              <c:pt idx="31">
                <c:v>Chinedu Nwosu 04-Sep</c:v>
              </c:pt>
              <c:pt idx="32">
                <c:v>Chinedu Nwosu 05-Sep</c:v>
              </c:pt>
              <c:pt idx="33">
                <c:v>Chinedu Nwosu 08-Sep</c:v>
              </c:pt>
              <c:pt idx="34">
                <c:v>Fola Balogun 15-Jun</c:v>
              </c:pt>
              <c:pt idx="35">
                <c:v>Fola Balogun 21-Jun</c:v>
              </c:pt>
              <c:pt idx="36">
                <c:v>Fola Balogun 23-Jun</c:v>
              </c:pt>
              <c:pt idx="37">
                <c:v>Fola Balogun 29-Jun</c:v>
              </c:pt>
              <c:pt idx="38">
                <c:v>Fola Balogun 05-Jul</c:v>
              </c:pt>
              <c:pt idx="39">
                <c:v>Fola Balogun 14-Jul</c:v>
              </c:pt>
              <c:pt idx="40">
                <c:v>Fola Balogun 28-Jul</c:v>
              </c:pt>
              <c:pt idx="41">
                <c:v>Fola Balogun 02-Aug</c:v>
              </c:pt>
              <c:pt idx="42">
                <c:v>Fola Balogun 16-Aug</c:v>
              </c:pt>
              <c:pt idx="43">
                <c:v>Fola Balogun 29-Aug</c:v>
              </c:pt>
              <c:pt idx="44">
                <c:v>Fola Balogun 01-Sep</c:v>
              </c:pt>
              <c:pt idx="45">
                <c:v>Fola Balogun 09-Sep</c:v>
              </c:pt>
              <c:pt idx="46">
                <c:v>Fola Balogun 11-Sep</c:v>
              </c:pt>
              <c:pt idx="47">
                <c:v>Fola Balogun 18-Sep</c:v>
              </c:pt>
              <c:pt idx="48">
                <c:v>Grace Amos 01-Jul</c:v>
              </c:pt>
              <c:pt idx="49">
                <c:v>Grace Amos 03-Jul</c:v>
              </c:pt>
              <c:pt idx="50">
                <c:v>Grace Amos 07-Jul</c:v>
              </c:pt>
              <c:pt idx="51">
                <c:v>Grace Amos 09-Jul</c:v>
              </c:pt>
              <c:pt idx="52">
                <c:v>Grace Amos 20-Jul</c:v>
              </c:pt>
              <c:pt idx="53">
                <c:v>Grace Amos 30-Jul</c:v>
              </c:pt>
              <c:pt idx="54">
                <c:v>Grace Amos 03-Aug</c:v>
              </c:pt>
              <c:pt idx="55">
                <c:v>Grace Amos 11-Aug</c:v>
              </c:pt>
              <c:pt idx="56">
                <c:v>Grace Amos 21-Aug</c:v>
              </c:pt>
              <c:pt idx="57">
                <c:v>Grace Amos 25-Aug</c:v>
              </c:pt>
              <c:pt idx="58">
                <c:v>Grace Amos 27-Aug</c:v>
              </c:pt>
              <c:pt idx="59">
                <c:v>Grace Amos 02-Sep</c:v>
              </c:pt>
              <c:pt idx="60">
                <c:v>Grace Amos 03-Sep</c:v>
              </c:pt>
              <c:pt idx="61">
                <c:v>Grace Amos 14-Sep</c:v>
              </c:pt>
              <c:pt idx="62">
                <c:v>Grace Amos 20-Sep</c:v>
              </c:pt>
              <c:pt idx="63">
                <c:v>Ifeanyi Okafor 14-Jun</c:v>
              </c:pt>
              <c:pt idx="64">
                <c:v>Ifeanyi Okafor 16-Jun</c:v>
              </c:pt>
              <c:pt idx="65">
                <c:v>Ifeanyi Okafor 18-Jun</c:v>
              </c:pt>
              <c:pt idx="66">
                <c:v>Ifeanyi Okafor 27-Jun</c:v>
              </c:pt>
              <c:pt idx="67">
                <c:v>Ifeanyi Okafor 06-Jul</c:v>
              </c:pt>
              <c:pt idx="68">
                <c:v>Ifeanyi Okafor 26-Jul</c:v>
              </c:pt>
              <c:pt idx="69">
                <c:v>Ifeanyi Okafor 06-Aug</c:v>
              </c:pt>
              <c:pt idx="70">
                <c:v>Ifeanyi Okafor 18-Aug</c:v>
              </c:pt>
              <c:pt idx="71">
                <c:v>Ifeanyi Okafor 30-Aug</c:v>
              </c:pt>
              <c:pt idx="72">
                <c:v>Ifeanyi Okafor 10-Sep</c:v>
              </c:pt>
              <c:pt idx="73">
                <c:v>Ifeanyi Okafor 17-Sep</c:v>
              </c:pt>
              <c:pt idx="74">
                <c:v>Job Austin 11-Jul</c:v>
              </c:pt>
              <c:pt idx="75">
                <c:v>Mary John 30-Jun</c:v>
              </c:pt>
              <c:pt idx="76">
                <c:v>Mary John 19-Jul</c:v>
              </c:pt>
              <c:pt idx="77">
                <c:v>Mary John 21-Jul</c:v>
              </c:pt>
              <c:pt idx="78">
                <c:v>Mary John 23-Jul</c:v>
              </c:pt>
              <c:pt idx="79">
                <c:v>Mary John 25-Jul</c:v>
              </c:pt>
              <c:pt idx="80">
                <c:v>Mary John 27-Jul</c:v>
              </c:pt>
              <c:pt idx="81">
                <c:v>Mary John 29-Jul</c:v>
              </c:pt>
              <c:pt idx="82">
                <c:v>Mary John 28-Aug</c:v>
              </c:pt>
              <c:pt idx="83">
                <c:v>Mary John 12-Sep</c:v>
              </c:pt>
              <c:pt idx="84">
                <c:v>Mary John 13-Sep</c:v>
              </c:pt>
              <c:pt idx="85">
                <c:v>Mary John 15-Sep</c:v>
              </c:pt>
              <c:pt idx="86">
                <c:v>Peter Obi 13-Jun</c:v>
              </c:pt>
              <c:pt idx="87">
                <c:v>Peter Obi 17-Jun</c:v>
              </c:pt>
              <c:pt idx="88">
                <c:v>Peter Obi 20-Jun</c:v>
              </c:pt>
              <c:pt idx="89">
                <c:v>Peter Obi 22-Jun</c:v>
              </c:pt>
              <c:pt idx="90">
                <c:v>Peter Obi 04-Jul</c:v>
              </c:pt>
              <c:pt idx="91">
                <c:v>Peter Obi 12-Jul</c:v>
              </c:pt>
              <c:pt idx="92">
                <c:v>Peter Obi 15-Jul</c:v>
              </c:pt>
              <c:pt idx="93">
                <c:v>Peter Obi 16-Jul</c:v>
              </c:pt>
              <c:pt idx="94">
                <c:v>Peter Obi 17-Jul</c:v>
              </c:pt>
              <c:pt idx="95">
                <c:v>Peter Obi 18-Jul</c:v>
              </c:pt>
              <c:pt idx="96">
                <c:v>Peter Obi 19-Aug</c:v>
              </c:pt>
              <c:pt idx="97">
                <c:v>Peter Obi 16-Sep</c:v>
              </c:pt>
              <c:pt idx="98">
                <c:v>Peter Obi 19-Sep</c:v>
              </c:pt>
              <c:pt idx="99">
                <c:v>Praise Odunayo 31-Jul</c:v>
              </c:pt>
            </c:strLit>
          </c:cat>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20</c:v>
              </c:pt>
              <c:pt idx="95">
                <c:v>0</c:v>
              </c:pt>
              <c:pt idx="96">
                <c:v>0</c:v>
              </c:pt>
              <c:pt idx="97">
                <c:v>0</c:v>
              </c:pt>
              <c:pt idx="98">
                <c:v>0</c:v>
              </c:pt>
              <c:pt idx="99">
                <c:v>0</c:v>
              </c:pt>
            </c:numLit>
          </c:val>
          <c:extLst>
            <c:ext xmlns:c16="http://schemas.microsoft.com/office/drawing/2014/chart" uri="{C3380CC4-5D6E-409C-BE32-E72D297353CC}">
              <c16:uniqueId val="{00000046-30A6-4E04-9C41-FECAFC8F7125}"/>
            </c:ext>
          </c:extLst>
        </c:ser>
        <c:dLbls>
          <c:showLegendKey val="0"/>
          <c:showVal val="0"/>
          <c:showCatName val="0"/>
          <c:showSerName val="0"/>
          <c:showPercent val="0"/>
          <c:showBubbleSize val="0"/>
        </c:dLbls>
        <c:gapWidth val="219"/>
        <c:overlap val="-27"/>
        <c:axId val="356261424"/>
        <c:axId val="356246064"/>
      </c:barChart>
      <c:catAx>
        <c:axId val="3562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6246064"/>
        <c:crosses val="autoZero"/>
        <c:auto val="1"/>
        <c:lblAlgn val="ctr"/>
        <c:lblOffset val="100"/>
        <c:noMultiLvlLbl val="0"/>
      </c:catAx>
      <c:valAx>
        <c:axId val="35624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6261424"/>
        <c:crosses val="autoZero"/>
        <c:crossBetween val="between"/>
      </c:valAx>
      <c:spPr>
        <a:noFill/>
        <a:ln>
          <a:noFill/>
        </a:ln>
        <a:effectLst/>
      </c:spPr>
    </c:plotArea>
    <c:legend>
      <c:legendPos val="r"/>
      <c:layout>
        <c:manualLayout>
          <c:xMode val="edge"/>
          <c:yMode val="edge"/>
          <c:x val="0.71948101269492459"/>
          <c:y val="0.16282554530844118"/>
          <c:w val="0.21477277624228863"/>
          <c:h val="0.79545969115846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TABLES!PivotTable13</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kern="1200" spc="0" baseline="0">
                <a:solidFill>
                  <a:sysClr val="windowText" lastClr="000000">
                    <a:lumMod val="65000"/>
                    <a:lumOff val="35000"/>
                  </a:sysClr>
                </a:solidFill>
              </a:rPr>
              <a:t>PERCENTAGE SALES BY CATEGORY</a:t>
            </a:r>
          </a:p>
        </c:rich>
      </c:tx>
      <c:layout>
        <c:manualLayout>
          <c:xMode val="edge"/>
          <c:yMode val="edge"/>
          <c:x val="0.14221959405953477"/>
          <c:y val="1.2429989729544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s>
    <c:view3D>
      <c:rotX val="4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411321789834944"/>
          <c:y val="0.2264403842723543"/>
          <c:w val="0.49078036110140666"/>
          <c:h val="0.70236220472440947"/>
        </c:manualLayout>
      </c:layout>
      <c:pie3DChart>
        <c:varyColors val="1"/>
        <c:ser>
          <c:idx val="0"/>
          <c:order val="0"/>
          <c:tx>
            <c:strRef>
              <c:f>'PIVOT TABLES'!$K$2</c:f>
              <c:strCache>
                <c:ptCount val="1"/>
                <c:pt idx="0">
                  <c:v>Total</c:v>
                </c:pt>
              </c:strCache>
            </c:strRef>
          </c:tx>
          <c:explosion val="1"/>
          <c:dPt>
            <c:idx val="0"/>
            <c:bubble3D val="0"/>
            <c:spPr>
              <a:solidFill>
                <a:schemeClr val="accent1"/>
              </a:solidFill>
              <a:ln>
                <a:noFill/>
              </a:ln>
              <a:effectLst/>
              <a:sp3d/>
            </c:spPr>
            <c:extLst>
              <c:ext xmlns:c16="http://schemas.microsoft.com/office/drawing/2014/chart" uri="{C3380CC4-5D6E-409C-BE32-E72D297353CC}">
                <c16:uniqueId val="{00000001-7178-461A-9777-6F12EFE564C1}"/>
              </c:ext>
            </c:extLst>
          </c:dPt>
          <c:dPt>
            <c:idx val="1"/>
            <c:bubble3D val="0"/>
            <c:spPr>
              <a:solidFill>
                <a:schemeClr val="accent2"/>
              </a:solidFill>
              <a:ln>
                <a:noFill/>
              </a:ln>
              <a:effectLst/>
              <a:sp3d/>
            </c:spPr>
            <c:extLst>
              <c:ext xmlns:c16="http://schemas.microsoft.com/office/drawing/2014/chart" uri="{C3380CC4-5D6E-409C-BE32-E72D297353CC}">
                <c16:uniqueId val="{00000003-7178-461A-9777-6F12EFE564C1}"/>
              </c:ext>
            </c:extLst>
          </c:dPt>
          <c:dPt>
            <c:idx val="2"/>
            <c:bubble3D val="0"/>
            <c:spPr>
              <a:solidFill>
                <a:schemeClr val="accent3"/>
              </a:solidFill>
              <a:ln>
                <a:noFill/>
              </a:ln>
              <a:effectLst/>
              <a:sp3d/>
            </c:spPr>
            <c:extLst>
              <c:ext xmlns:c16="http://schemas.microsoft.com/office/drawing/2014/chart" uri="{C3380CC4-5D6E-409C-BE32-E72D297353CC}">
                <c16:uniqueId val="{00000005-7178-461A-9777-6F12EFE564C1}"/>
              </c:ext>
            </c:extLst>
          </c:dPt>
          <c:dPt>
            <c:idx val="3"/>
            <c:bubble3D val="0"/>
            <c:spPr>
              <a:solidFill>
                <a:schemeClr val="accent4"/>
              </a:solidFill>
              <a:ln>
                <a:noFill/>
              </a:ln>
              <a:effectLst/>
              <a:sp3d/>
            </c:spPr>
            <c:extLst>
              <c:ext xmlns:c16="http://schemas.microsoft.com/office/drawing/2014/chart" uri="{C3380CC4-5D6E-409C-BE32-E72D297353CC}">
                <c16:uniqueId val="{00000007-7178-461A-9777-6F12EFE564C1}"/>
              </c:ext>
            </c:extLst>
          </c:dPt>
          <c:dPt>
            <c:idx val="4"/>
            <c:bubble3D val="0"/>
            <c:spPr>
              <a:solidFill>
                <a:schemeClr val="accent5"/>
              </a:solidFill>
              <a:ln>
                <a:noFill/>
              </a:ln>
              <a:effectLst/>
              <a:sp3d/>
            </c:spPr>
            <c:extLst>
              <c:ext xmlns:c16="http://schemas.microsoft.com/office/drawing/2014/chart" uri="{C3380CC4-5D6E-409C-BE32-E72D297353CC}">
                <c16:uniqueId val="{00000009-7178-461A-9777-6F12EFE564C1}"/>
              </c:ext>
            </c:extLst>
          </c:dPt>
          <c:dPt>
            <c:idx val="5"/>
            <c:bubble3D val="0"/>
            <c:spPr>
              <a:solidFill>
                <a:schemeClr val="accent6"/>
              </a:solidFill>
              <a:ln>
                <a:noFill/>
              </a:ln>
              <a:effectLst/>
              <a:sp3d/>
            </c:spPr>
            <c:extLst>
              <c:ext xmlns:c16="http://schemas.microsoft.com/office/drawing/2014/chart" uri="{C3380CC4-5D6E-409C-BE32-E72D297353CC}">
                <c16:uniqueId val="{0000000B-7178-461A-9777-6F12EFE564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TABLES'!$J$3:$J$9</c:f>
              <c:strCache>
                <c:ptCount val="6"/>
                <c:pt idx="0">
                  <c:v>Audio</c:v>
                </c:pt>
                <c:pt idx="1">
                  <c:v>Computers</c:v>
                </c:pt>
                <c:pt idx="2">
                  <c:v>Electronics</c:v>
                </c:pt>
                <c:pt idx="3">
                  <c:v>Mobile</c:v>
                </c:pt>
                <c:pt idx="4">
                  <c:v>Peripherals</c:v>
                </c:pt>
                <c:pt idx="5">
                  <c:v>Photography</c:v>
                </c:pt>
              </c:strCache>
            </c:strRef>
          </c:cat>
          <c:val>
            <c:numRef>
              <c:f>'PIVOT TABLES'!$K$3:$K$9</c:f>
              <c:numCache>
                <c:formatCode>0.00%</c:formatCode>
                <c:ptCount val="6"/>
                <c:pt idx="0">
                  <c:v>9.202453987730061E-2</c:v>
                </c:pt>
                <c:pt idx="1">
                  <c:v>0.16739702015775634</c:v>
                </c:pt>
                <c:pt idx="2">
                  <c:v>0.18843120070113936</c:v>
                </c:pt>
                <c:pt idx="3">
                  <c:v>0.26993865030674846</c:v>
                </c:pt>
                <c:pt idx="4">
                  <c:v>0.15425065731814197</c:v>
                </c:pt>
                <c:pt idx="5">
                  <c:v>0.12795793163891322</c:v>
                </c:pt>
              </c:numCache>
            </c:numRef>
          </c:val>
          <c:extLst>
            <c:ext xmlns:c16="http://schemas.microsoft.com/office/drawing/2014/chart" uri="{C3380CC4-5D6E-409C-BE32-E72D297353CC}">
              <c16:uniqueId val="{0000000C-7178-461A-9777-6F12EFE564C1}"/>
            </c:ext>
          </c:extLst>
        </c:ser>
        <c:dLbls>
          <c:dLblPos val="outEnd"/>
          <c:showLegendKey val="0"/>
          <c:showVal val="1"/>
          <c:showCatName val="0"/>
          <c:showSerName val="0"/>
          <c:showPercent val="0"/>
          <c:showBubbleSize val="0"/>
          <c:showLeaderLines val="1"/>
        </c:dLbls>
      </c:pie3DChart>
      <c:spPr>
        <a:noFill/>
        <a:ln>
          <a:noFill/>
        </a:ln>
        <a:effectLst/>
      </c:spPr>
    </c:plotArea>
    <c:legend>
      <c:legendPos val="l"/>
      <c:layout>
        <c:manualLayout>
          <c:xMode val="edge"/>
          <c:yMode val="edge"/>
          <c:x val="3.4188049526908286E-2"/>
          <c:y val="0.16045256478862474"/>
          <c:w val="0.33333303422528848"/>
          <c:h val="0.72430497158728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ysClr val="windowText" lastClr="000000">
                    <a:lumMod val="65000"/>
                    <a:lumOff val="35000"/>
                  </a:sysClr>
                </a:solidFill>
              </a:rPr>
              <a:t>SALES BY SALES REP.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TABLES'!$E$41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TABLES'!$D$42:$D$46</c:f>
              <c:strCache>
                <c:ptCount val="4"/>
                <c:pt idx="0">
                  <c:v>East</c:v>
                </c:pt>
                <c:pt idx="1">
                  <c:v>North</c:v>
                </c:pt>
                <c:pt idx="2">
                  <c:v>South</c:v>
                </c:pt>
                <c:pt idx="3">
                  <c:v>West</c:v>
                </c:pt>
              </c:strCache>
            </c:strRef>
          </c:cat>
          <c:val>
            <c:numRef>
              <c:f>'PIVOT TABLES'!$E$42:$E$46</c:f>
              <c:numCache>
                <c:formatCode>"₦"#,##0.00</c:formatCode>
                <c:ptCount val="4"/>
                <c:pt idx="0">
                  <c:v>79518498</c:v>
                </c:pt>
                <c:pt idx="1">
                  <c:v>39490000</c:v>
                </c:pt>
                <c:pt idx="2">
                  <c:v>68129460</c:v>
                </c:pt>
                <c:pt idx="3">
                  <c:v>115542487</c:v>
                </c:pt>
              </c:numCache>
            </c:numRef>
          </c:val>
          <c:extLst>
            <c:ext xmlns:c16="http://schemas.microsoft.com/office/drawing/2014/chart" uri="{C3380CC4-5D6E-409C-BE32-E72D297353CC}">
              <c16:uniqueId val="{00000000-6F3E-4D2E-AA16-913524C19D37}"/>
            </c:ext>
          </c:extLst>
        </c:ser>
        <c:dLbls>
          <c:dLblPos val="outEnd"/>
          <c:showLegendKey val="0"/>
          <c:showVal val="1"/>
          <c:showCatName val="0"/>
          <c:showSerName val="0"/>
          <c:showPercent val="0"/>
          <c:showBubbleSize val="0"/>
        </c:dLbls>
        <c:gapWidth val="219"/>
        <c:overlap val="-27"/>
        <c:axId val="1848843728"/>
        <c:axId val="1848834128"/>
      </c:barChart>
      <c:catAx>
        <c:axId val="184884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8834128"/>
        <c:crosses val="autoZero"/>
        <c:auto val="1"/>
        <c:lblAlgn val="ctr"/>
        <c:lblOffset val="100"/>
        <c:noMultiLvlLbl val="0"/>
      </c:catAx>
      <c:valAx>
        <c:axId val="1848834128"/>
        <c:scaling>
          <c:orientation val="minMax"/>
        </c:scaling>
        <c:delete val="1"/>
        <c:axPos val="l"/>
        <c:numFmt formatCode="&quot;₦&quot;#,##0.00" sourceLinked="1"/>
        <c:majorTickMark val="none"/>
        <c:minorTickMark val="none"/>
        <c:tickLblPos val="nextTo"/>
        <c:crossAx val="184884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TABLES!PivotTable8</c:name>
    <c:fmtId val="4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b="1"/>
              <a:t>TOTAL COUNT</a:t>
            </a:r>
          </a:p>
        </c:rich>
      </c:tx>
      <c:layout>
        <c:manualLayout>
          <c:xMode val="edge"/>
          <c:yMode val="edge"/>
          <c:x val="0.14739393939393938"/>
          <c:y val="4.35695538057742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dLbl>
          <c:idx val="0"/>
          <c:layout>
            <c:manualLayout>
              <c:x val="4.7247674858250299E-3"/>
              <c:y val="4.269466316710489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1684356402916878"/>
                  <c:h val="0.35757722592368263"/>
                </c:manualLayout>
              </c15:layout>
            </c:ext>
          </c:extLst>
        </c:dLbl>
      </c:pivotFmt>
    </c:pivotFmts>
    <c:plotArea>
      <c:layout/>
      <c:barChart>
        <c:barDir val="col"/>
        <c:grouping val="clustered"/>
        <c:varyColors val="0"/>
        <c:ser>
          <c:idx val="0"/>
          <c:order val="0"/>
          <c:tx>
            <c:strRef>
              <c:f>'PIVOT TABLES'!$A$19</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8159-4DBA-8127-B070C978B8D5}"/>
              </c:ext>
            </c:extLst>
          </c:dPt>
          <c:dLbls>
            <c:dLbl>
              <c:idx val="0"/>
              <c:layout>
                <c:manualLayout>
                  <c:x val="4.7247674858250299E-3"/>
                  <c:y val="4.269466316710489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1684356402916878"/>
                      <c:h val="0.35757722592368263"/>
                    </c:manualLayout>
                  </c15:layout>
                </c:ext>
                <c:ext xmlns:c16="http://schemas.microsoft.com/office/drawing/2014/chart" uri="{C3380CC4-5D6E-409C-BE32-E72D297353CC}">
                  <c16:uniqueId val="{00000001-8159-4DBA-8127-B070C978B8D5}"/>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c:f>
              <c:strCache>
                <c:ptCount val="1"/>
                <c:pt idx="0">
                  <c:v>Total</c:v>
                </c:pt>
              </c:strCache>
            </c:strRef>
          </c:cat>
          <c:val>
            <c:numRef>
              <c:f>'PIVOT TABLES'!$A$20</c:f>
              <c:numCache>
                <c:formatCode>0.0</c:formatCode>
                <c:ptCount val="1"/>
                <c:pt idx="0">
                  <c:v>1141</c:v>
                </c:pt>
              </c:numCache>
            </c:numRef>
          </c:val>
          <c:extLst>
            <c:ext xmlns:c16="http://schemas.microsoft.com/office/drawing/2014/chart" uri="{C3380CC4-5D6E-409C-BE32-E72D297353CC}">
              <c16:uniqueId val="{00000000-8159-4DBA-8127-B070C978B8D5}"/>
            </c:ext>
          </c:extLst>
        </c:ser>
        <c:dLbls>
          <c:dLblPos val="outEnd"/>
          <c:showLegendKey val="0"/>
          <c:showVal val="1"/>
          <c:showCatName val="0"/>
          <c:showSerName val="0"/>
          <c:showPercent val="0"/>
          <c:showBubbleSize val="0"/>
        </c:dLbls>
        <c:gapWidth val="219"/>
        <c:overlap val="-27"/>
        <c:axId val="1091422304"/>
        <c:axId val="1091410784"/>
      </c:barChart>
      <c:catAx>
        <c:axId val="1091422304"/>
        <c:scaling>
          <c:orientation val="minMax"/>
        </c:scaling>
        <c:delete val="1"/>
        <c:axPos val="b"/>
        <c:numFmt formatCode="General" sourceLinked="1"/>
        <c:majorTickMark val="none"/>
        <c:minorTickMark val="none"/>
        <c:tickLblPos val="nextTo"/>
        <c:crossAx val="1091410784"/>
        <c:crosses val="autoZero"/>
        <c:auto val="1"/>
        <c:lblAlgn val="ctr"/>
        <c:lblOffset val="100"/>
        <c:noMultiLvlLbl val="0"/>
      </c:catAx>
      <c:valAx>
        <c:axId val="1091410784"/>
        <c:scaling>
          <c:orientation val="minMax"/>
        </c:scaling>
        <c:delete val="1"/>
        <c:axPos val="l"/>
        <c:numFmt formatCode="0.0" sourceLinked="1"/>
        <c:majorTickMark val="none"/>
        <c:minorTickMark val="none"/>
        <c:tickLblPos val="nextTo"/>
        <c:crossAx val="109142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9900"/>
    </a:solid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TABLES!PivotTable17</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TOP 3 CUSTOMERS</a:t>
            </a:r>
          </a:p>
        </c:rich>
      </c:tx>
      <c:layout>
        <c:manualLayout>
          <c:xMode val="edge"/>
          <c:yMode val="edge"/>
          <c:x val="0.28095668365737514"/>
          <c:y val="0"/>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50"/>
          </a:solidFill>
          <a:ln>
            <a:noFill/>
          </a:ln>
          <a:effectLst/>
        </c:spPr>
        <c:marker>
          <c:symbol val="none"/>
        </c:marker>
      </c:pivotFmt>
      <c:pivotFmt>
        <c:idx val="3"/>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0B050"/>
          </a:solidFill>
          <a:effectLst/>
        </c:spPr>
        <c:marker>
          <c:spPr>
            <a:solidFill>
              <a:schemeClr val="tx1"/>
            </a:solidFill>
          </c:spPr>
        </c:marker>
        <c:dLbl>
          <c:idx val="0"/>
          <c:delete val="1"/>
          <c:extLst>
            <c:ext xmlns:c15="http://schemas.microsoft.com/office/drawing/2012/chart" uri="{CE6537A1-D6FC-4f65-9D91-7224C49458BB}"/>
          </c:extLst>
        </c:dLbl>
      </c:pivotFmt>
      <c:pivotFmt>
        <c:idx val="6"/>
        <c:spPr>
          <a:effectLst/>
        </c:spPr>
        <c:marker>
          <c:spPr>
            <a:solidFill>
              <a:schemeClr val="tx1"/>
            </a:solidFill>
          </c:spPr>
        </c:marker>
        <c:dLbl>
          <c:idx val="0"/>
          <c:delete val="1"/>
          <c:extLst>
            <c:ext xmlns:c15="http://schemas.microsoft.com/office/drawing/2012/chart" uri="{CE6537A1-D6FC-4f65-9D91-7224C49458BB}"/>
          </c:extLst>
        </c:dLbl>
      </c:pivotFmt>
      <c:pivotFmt>
        <c:idx val="7"/>
        <c:spPr>
          <a:ln>
            <a:solidFill>
              <a:srgbClr val="009900"/>
            </a:solidFill>
          </a:ln>
          <a:effectLst/>
        </c:spPr>
        <c:marker>
          <c:spPr>
            <a:solidFill>
              <a:schemeClr val="bg1"/>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0.14095216676103878"/>
          <c:y val="0.1158907164106369"/>
          <c:w val="0.76703124438212344"/>
          <c:h val="0.43272490517875606"/>
        </c:manualLayout>
      </c:layout>
      <c:lineChart>
        <c:grouping val="stacked"/>
        <c:varyColors val="0"/>
        <c:ser>
          <c:idx val="0"/>
          <c:order val="0"/>
          <c:tx>
            <c:strRef>
              <c:f>'PIVOT TABLES'!$I$62</c:f>
              <c:strCache>
                <c:ptCount val="1"/>
                <c:pt idx="0">
                  <c:v>Total</c:v>
                </c:pt>
              </c:strCache>
            </c:strRef>
          </c:tx>
          <c:spPr>
            <a:ln>
              <a:solidFill>
                <a:srgbClr val="009900"/>
              </a:solidFill>
            </a:ln>
            <a:effectLst/>
          </c:spPr>
          <c:marker>
            <c:spPr>
              <a:solidFill>
                <a:schemeClr val="bg1"/>
              </a:solidFill>
            </c:spPr>
          </c:marker>
          <c:cat>
            <c:strRef>
              <c:f>'PIVOT TABLES'!$H$63:$H$66</c:f>
              <c:strCache>
                <c:ptCount val="3"/>
                <c:pt idx="0">
                  <c:v>Omega Wholesale</c:v>
                </c:pt>
                <c:pt idx="1">
                  <c:v>Bright Solutions</c:v>
                </c:pt>
                <c:pt idx="2">
                  <c:v>Femi Tech</c:v>
                </c:pt>
              </c:strCache>
            </c:strRef>
          </c:cat>
          <c:val>
            <c:numRef>
              <c:f>'PIVOT TABLES'!$I$63:$I$66</c:f>
              <c:numCache>
                <c:formatCode>"₦"#,##0.00</c:formatCode>
                <c:ptCount val="3"/>
                <c:pt idx="0">
                  <c:v>89559500</c:v>
                </c:pt>
                <c:pt idx="1">
                  <c:v>31715000</c:v>
                </c:pt>
                <c:pt idx="2">
                  <c:v>31117487</c:v>
                </c:pt>
              </c:numCache>
            </c:numRef>
          </c:val>
          <c:smooth val="0"/>
          <c:extLst>
            <c:ext xmlns:c16="http://schemas.microsoft.com/office/drawing/2014/chart" uri="{C3380CC4-5D6E-409C-BE32-E72D297353CC}">
              <c16:uniqueId val="{00000000-711B-4DB3-B345-3A903A576286}"/>
            </c:ext>
          </c:extLst>
        </c:ser>
        <c:dLbls>
          <c:showLegendKey val="0"/>
          <c:showVal val="0"/>
          <c:showCatName val="0"/>
          <c:showSerName val="0"/>
          <c:showPercent val="0"/>
          <c:showBubbleSize val="0"/>
        </c:dLbls>
        <c:marker val="1"/>
        <c:smooth val="0"/>
        <c:axId val="1064405615"/>
        <c:axId val="1064387855"/>
      </c:lineChart>
      <c:catAx>
        <c:axId val="10644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4387855"/>
        <c:crosses val="autoZero"/>
        <c:auto val="1"/>
        <c:lblAlgn val="ctr"/>
        <c:lblOffset val="100"/>
        <c:noMultiLvlLbl val="0"/>
      </c:catAx>
      <c:valAx>
        <c:axId val="1064387855"/>
        <c:scaling>
          <c:orientation val="minMax"/>
        </c:scaling>
        <c:delete val="1"/>
        <c:axPos val="l"/>
        <c:numFmt formatCode="&quot;₦&quot;#,##0.00" sourceLinked="1"/>
        <c:majorTickMark val="none"/>
        <c:minorTickMark val="none"/>
        <c:tickLblPos val="nextTo"/>
        <c:crossAx val="1064405615"/>
        <c:crosses val="autoZero"/>
        <c:crossBetween val="between"/>
      </c:valAx>
      <c:spPr>
        <a:noFill/>
      </c:spPr>
    </c:plotArea>
    <c:plotVisOnly val="1"/>
    <c:dispBlanksAs val="gap"/>
    <c:showDLblsOverMax val="0"/>
    <c:extLst/>
  </c:chart>
  <c:spPr>
    <a:solidFill>
      <a:schemeClr val="accent6">
        <a:lumMod val="20000"/>
        <a:lumOff val="80000"/>
      </a:schemeClr>
    </a:solidFill>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EXCEL PROJECT READY.xlsx]PIVOT TABLES!PivotTable20</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LEAST 3 CUSTOMERS</a:t>
            </a:r>
          </a:p>
        </c:rich>
      </c:tx>
      <c:layout>
        <c:manualLayout>
          <c:xMode val="edge"/>
          <c:yMode val="edge"/>
          <c:x val="0.13686631106595548"/>
          <c:y val="1.3888888888888888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FF0000"/>
          </a:solidFill>
          <a:effectLst/>
        </c:spPr>
        <c:marker>
          <c:spPr>
            <a:solidFill>
              <a:srgbClr val="E22708"/>
            </a:solidFill>
          </c:spPr>
        </c:marker>
        <c:dLbl>
          <c:idx val="0"/>
          <c:delete val="1"/>
          <c:extLst>
            <c:ext xmlns:c15="http://schemas.microsoft.com/office/drawing/2012/chart" uri="{CE6537A1-D6FC-4f65-9D91-7224C49458BB}"/>
          </c:extLst>
        </c:dLbl>
      </c:pivotFmt>
      <c:pivotFmt>
        <c:idx val="11"/>
        <c:spPr>
          <a:effectLst/>
        </c:spPr>
        <c:marker>
          <c:spPr>
            <a:solidFill>
              <a:srgbClr val="E22708"/>
            </a:solidFill>
          </c:spPr>
        </c:marker>
        <c:dLbl>
          <c:idx val="0"/>
          <c:delete val="1"/>
          <c:extLst>
            <c:ext xmlns:c15="http://schemas.microsoft.com/office/drawing/2012/chart" uri="{CE6537A1-D6FC-4f65-9D91-7224C49458BB}"/>
          </c:extLst>
        </c:dLbl>
      </c:pivotFmt>
      <c:pivotFmt>
        <c:idx val="12"/>
        <c:spPr>
          <a:ln>
            <a:solidFill>
              <a:srgbClr val="E22708"/>
            </a:solidFill>
          </a:ln>
          <a:effectLst/>
        </c:spPr>
        <c:marker>
          <c:spPr>
            <a:solidFill>
              <a:schemeClr val="tx1"/>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6.5934065934065936E-2"/>
          <c:y val="2.2429823390720229E-2"/>
          <c:w val="0.83882783882783885"/>
          <c:h val="0.51222207393567332"/>
        </c:manualLayout>
      </c:layout>
      <c:lineChart>
        <c:grouping val="stacked"/>
        <c:varyColors val="0"/>
        <c:ser>
          <c:idx val="0"/>
          <c:order val="0"/>
          <c:tx>
            <c:strRef>
              <c:f>'PIVOT TABLES'!$I$71</c:f>
              <c:strCache>
                <c:ptCount val="1"/>
                <c:pt idx="0">
                  <c:v>Total</c:v>
                </c:pt>
              </c:strCache>
            </c:strRef>
          </c:tx>
          <c:spPr>
            <a:ln>
              <a:solidFill>
                <a:srgbClr val="E22708"/>
              </a:solidFill>
            </a:ln>
            <a:effectLst/>
          </c:spPr>
          <c:marker>
            <c:spPr>
              <a:solidFill>
                <a:schemeClr val="tx1"/>
              </a:solidFill>
            </c:spPr>
          </c:marker>
          <c:cat>
            <c:strRef>
              <c:f>'PIVOT TABLES'!$H$72:$H$75</c:f>
              <c:strCache>
                <c:ptCount val="3"/>
                <c:pt idx="0">
                  <c:v>Adewale Stores</c:v>
                </c:pt>
                <c:pt idx="1">
                  <c:v>Tope &amp; Sons</c:v>
                </c:pt>
                <c:pt idx="2">
                  <c:v>Kelvin Tech</c:v>
                </c:pt>
              </c:strCache>
            </c:strRef>
          </c:cat>
          <c:val>
            <c:numRef>
              <c:f>'PIVOT TABLES'!$I$72:$I$75</c:f>
              <c:numCache>
                <c:formatCode>"₦"#,##0.00</c:formatCode>
                <c:ptCount val="3"/>
                <c:pt idx="0">
                  <c:v>2195000</c:v>
                </c:pt>
                <c:pt idx="1">
                  <c:v>8064960</c:v>
                </c:pt>
                <c:pt idx="2">
                  <c:v>10125000</c:v>
                </c:pt>
              </c:numCache>
            </c:numRef>
          </c:val>
          <c:smooth val="0"/>
          <c:extLst>
            <c:ext xmlns:c16="http://schemas.microsoft.com/office/drawing/2014/chart" uri="{C3380CC4-5D6E-409C-BE32-E72D297353CC}">
              <c16:uniqueId val="{00000000-473C-4547-B476-1B8A7F808650}"/>
            </c:ext>
          </c:extLst>
        </c:ser>
        <c:dLbls>
          <c:showLegendKey val="0"/>
          <c:showVal val="0"/>
          <c:showCatName val="0"/>
          <c:showSerName val="0"/>
          <c:showPercent val="0"/>
          <c:showBubbleSize val="0"/>
        </c:dLbls>
        <c:marker val="1"/>
        <c:smooth val="0"/>
        <c:axId val="1064405615"/>
        <c:axId val="1064387855"/>
      </c:lineChart>
      <c:catAx>
        <c:axId val="10644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4387855"/>
        <c:crosses val="autoZero"/>
        <c:auto val="1"/>
        <c:lblAlgn val="ctr"/>
        <c:lblOffset val="100"/>
        <c:noMultiLvlLbl val="0"/>
      </c:catAx>
      <c:valAx>
        <c:axId val="1064387855"/>
        <c:scaling>
          <c:orientation val="minMax"/>
        </c:scaling>
        <c:delete val="1"/>
        <c:axPos val="l"/>
        <c:numFmt formatCode="&quot;₦&quot;#,##0.00" sourceLinked="1"/>
        <c:majorTickMark val="none"/>
        <c:minorTickMark val="none"/>
        <c:tickLblPos val="nextTo"/>
        <c:crossAx val="1064405615"/>
        <c:crosses val="autoZero"/>
        <c:crossBetween val="between"/>
      </c:valAx>
      <c:spPr>
        <a:noFill/>
      </c:spPr>
    </c:plotArea>
    <c:plotVisOnly val="1"/>
    <c:dispBlanksAs val="gap"/>
    <c:showDLblsOverMax val="0"/>
    <c:extLst/>
  </c:chart>
  <c:spPr>
    <a:solidFill>
      <a:schemeClr val="accent6">
        <a:lumMod val="20000"/>
        <a:lumOff val="80000"/>
      </a:schemeClr>
    </a:solidFill>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19" Type="http://schemas.openxmlformats.org/officeDocument/2006/relationships/image" Target="../media/image1.png"/><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228600</xdr:colOff>
      <xdr:row>25</xdr:row>
      <xdr:rowOff>123826</xdr:rowOff>
    </xdr:from>
    <xdr:to>
      <xdr:col>17</xdr:col>
      <xdr:colOff>314325</xdr:colOff>
      <xdr:row>38</xdr:row>
      <xdr:rowOff>161926</xdr:rowOff>
    </xdr:to>
    <xdr:graphicFrame macro="">
      <xdr:nvGraphicFramePr>
        <xdr:cNvPr id="4" name="Chart 3">
          <a:extLst>
            <a:ext uri="{FF2B5EF4-FFF2-40B4-BE49-F238E27FC236}">
              <a16:creationId xmlns:a16="http://schemas.microsoft.com/office/drawing/2014/main" id="{2DDE088C-48AA-F3A8-4419-51F917F12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866775</xdr:colOff>
      <xdr:row>107</xdr:row>
      <xdr:rowOff>104775</xdr:rowOff>
    </xdr:from>
    <xdr:to>
      <xdr:col>6</xdr:col>
      <xdr:colOff>409575</xdr:colOff>
      <xdr:row>121</xdr:row>
      <xdr:rowOff>180975</xdr:rowOff>
    </xdr:to>
    <xdr:graphicFrame macro="">
      <xdr:nvGraphicFramePr>
        <xdr:cNvPr id="3" name="Chart 2">
          <a:extLst>
            <a:ext uri="{FF2B5EF4-FFF2-40B4-BE49-F238E27FC236}">
              <a16:creationId xmlns:a16="http://schemas.microsoft.com/office/drawing/2014/main" id="{29FA6CA8-2A18-558A-4F22-53BD04575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85725</xdr:colOff>
      <xdr:row>0</xdr:row>
      <xdr:rowOff>47624</xdr:rowOff>
    </xdr:from>
    <xdr:ext cx="3876676" cy="352426"/>
    <xdr:sp macro="" textlink="">
      <xdr:nvSpPr>
        <xdr:cNvPr id="2" name="TextBox 1">
          <a:extLst>
            <a:ext uri="{FF2B5EF4-FFF2-40B4-BE49-F238E27FC236}">
              <a16:creationId xmlns:a16="http://schemas.microsoft.com/office/drawing/2014/main" id="{53A450B4-A3A2-409B-90D1-C136BB2F7CA0}"/>
            </a:ext>
          </a:extLst>
        </xdr:cNvPr>
        <xdr:cNvSpPr txBox="1"/>
      </xdr:nvSpPr>
      <xdr:spPr>
        <a:xfrm>
          <a:off x="1304925" y="47624"/>
          <a:ext cx="3876676" cy="352426"/>
        </a:xfrm>
        <a:prstGeom prst="rect">
          <a:avLst/>
        </a:prstGeom>
        <a:solidFill>
          <a:srgbClr val="E22708"/>
        </a:solidFill>
        <a:ln w="158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300" b="1">
              <a:solidFill>
                <a:srgbClr val="FFFF00"/>
              </a:solidFill>
              <a:latin typeface="+mn-lt"/>
            </a:rPr>
            <a:t>AI BOOTCAMP PROJECT SALES </a:t>
          </a:r>
          <a:r>
            <a:rPr lang="en-US" sz="1200" b="1">
              <a:solidFill>
                <a:srgbClr val="FFFF00"/>
              </a:solidFill>
              <a:latin typeface="+mn-lt"/>
              <a:cs typeface="Arial" panose="020B0604020202020204" pitchFamily="34" charset="0"/>
            </a:rPr>
            <a:t>PERFORMACEANALYSIS</a:t>
          </a:r>
          <a:endParaRPr lang="en-NG" sz="1200" b="1">
            <a:solidFill>
              <a:srgbClr val="FFFF00"/>
            </a:solidFill>
            <a:latin typeface="+mn-lt"/>
            <a:cs typeface="Arial" panose="020B0604020202020204" pitchFamily="34" charset="0"/>
          </a:endParaRPr>
        </a:p>
      </xdr:txBody>
    </xdr:sp>
    <xdr:clientData/>
  </xdr:oneCellAnchor>
  <xdr:twoCellAnchor>
    <xdr:from>
      <xdr:col>8</xdr:col>
      <xdr:colOff>323850</xdr:colOff>
      <xdr:row>0</xdr:row>
      <xdr:rowOff>28575</xdr:rowOff>
    </xdr:from>
    <xdr:to>
      <xdr:col>10</xdr:col>
      <xdr:colOff>600074</xdr:colOff>
      <xdr:row>2</xdr:row>
      <xdr:rowOff>38100</xdr:rowOff>
    </xdr:to>
    <xdr:graphicFrame macro="">
      <xdr:nvGraphicFramePr>
        <xdr:cNvPr id="5" name="Chart 4">
          <a:extLst>
            <a:ext uri="{FF2B5EF4-FFF2-40B4-BE49-F238E27FC236}">
              <a16:creationId xmlns:a16="http://schemas.microsoft.com/office/drawing/2014/main" id="{2B0FA799-3C64-4B5E-A54D-37A07EAEF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2</xdr:row>
      <xdr:rowOff>76199</xdr:rowOff>
    </xdr:from>
    <xdr:to>
      <xdr:col>6</xdr:col>
      <xdr:colOff>466724</xdr:colOff>
      <xdr:row>3</xdr:row>
      <xdr:rowOff>161924</xdr:rowOff>
    </xdr:to>
    <xdr:graphicFrame macro="">
      <xdr:nvGraphicFramePr>
        <xdr:cNvPr id="6" name="Chart 5">
          <a:extLst>
            <a:ext uri="{FF2B5EF4-FFF2-40B4-BE49-F238E27FC236}">
              <a16:creationId xmlns:a16="http://schemas.microsoft.com/office/drawing/2014/main" id="{DBB33AB8-045A-4F21-9253-D0A7D3AF2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142876</xdr:colOff>
      <xdr:row>2</xdr:row>
      <xdr:rowOff>76200</xdr:rowOff>
    </xdr:from>
    <xdr:to>
      <xdr:col>4</xdr:col>
      <xdr:colOff>257176</xdr:colOff>
      <xdr:row>3</xdr:row>
      <xdr:rowOff>171450</xdr:rowOff>
    </xdr:to>
    <xdr:graphicFrame macro="">
      <xdr:nvGraphicFramePr>
        <xdr:cNvPr id="7" name="Chart 6">
          <a:extLst>
            <a:ext uri="{FF2B5EF4-FFF2-40B4-BE49-F238E27FC236}">
              <a16:creationId xmlns:a16="http://schemas.microsoft.com/office/drawing/2014/main" id="{D93DE5A9-1FC0-4F0F-B8F0-B544F0299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504826</xdr:colOff>
      <xdr:row>2</xdr:row>
      <xdr:rowOff>66675</xdr:rowOff>
    </xdr:from>
    <xdr:to>
      <xdr:col>9</xdr:col>
      <xdr:colOff>76200</xdr:colOff>
      <xdr:row>3</xdr:row>
      <xdr:rowOff>171451</xdr:rowOff>
    </xdr:to>
    <xdr:graphicFrame macro="">
      <xdr:nvGraphicFramePr>
        <xdr:cNvPr id="9" name="Chart 8">
          <a:extLst>
            <a:ext uri="{FF2B5EF4-FFF2-40B4-BE49-F238E27FC236}">
              <a16:creationId xmlns:a16="http://schemas.microsoft.com/office/drawing/2014/main" id="{1E6567FB-2D9C-4AD4-8C87-B814A25FF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34</xdr:row>
      <xdr:rowOff>28576</xdr:rowOff>
    </xdr:from>
    <xdr:to>
      <xdr:col>4</xdr:col>
      <xdr:colOff>590550</xdr:colOff>
      <xdr:row>43</xdr:row>
      <xdr:rowOff>133350</xdr:rowOff>
    </xdr:to>
    <xdr:graphicFrame macro="">
      <xdr:nvGraphicFramePr>
        <xdr:cNvPr id="11" name="Chart 10">
          <a:extLst>
            <a:ext uri="{FF2B5EF4-FFF2-40B4-BE49-F238E27FC236}">
              <a16:creationId xmlns:a16="http://schemas.microsoft.com/office/drawing/2014/main" id="{55980418-FF22-49F9-9A35-3E8CC4692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200025</xdr:colOff>
      <xdr:row>44</xdr:row>
      <xdr:rowOff>1</xdr:rowOff>
    </xdr:from>
    <xdr:to>
      <xdr:col>11</xdr:col>
      <xdr:colOff>9525</xdr:colOff>
      <xdr:row>53</xdr:row>
      <xdr:rowOff>171451</xdr:rowOff>
    </xdr:to>
    <xdr:graphicFrame macro="">
      <xdr:nvGraphicFramePr>
        <xdr:cNvPr id="12" name="Chart 11">
          <a:extLst>
            <a:ext uri="{FF2B5EF4-FFF2-40B4-BE49-F238E27FC236}">
              <a16:creationId xmlns:a16="http://schemas.microsoft.com/office/drawing/2014/main" id="{EF7F3933-4695-4771-8016-DFBFC8524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285749</xdr:colOff>
      <xdr:row>14</xdr:row>
      <xdr:rowOff>0</xdr:rowOff>
    </xdr:from>
    <xdr:to>
      <xdr:col>10</xdr:col>
      <xdr:colOff>600074</xdr:colOff>
      <xdr:row>23</xdr:row>
      <xdr:rowOff>95249</xdr:rowOff>
    </xdr:to>
    <xdr:graphicFrame macro="">
      <xdr:nvGraphicFramePr>
        <xdr:cNvPr id="13" name="Chart 12">
          <a:extLst>
            <a:ext uri="{FF2B5EF4-FFF2-40B4-BE49-F238E27FC236}">
              <a16:creationId xmlns:a16="http://schemas.microsoft.com/office/drawing/2014/main" id="{5B286BCC-D60D-452B-BFCC-4D64F218C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200025</xdr:colOff>
      <xdr:row>23</xdr:row>
      <xdr:rowOff>133350</xdr:rowOff>
    </xdr:from>
    <xdr:to>
      <xdr:col>10</xdr:col>
      <xdr:colOff>600074</xdr:colOff>
      <xdr:row>34</xdr:row>
      <xdr:rowOff>0</xdr:rowOff>
    </xdr:to>
    <xdr:graphicFrame macro="">
      <xdr:nvGraphicFramePr>
        <xdr:cNvPr id="15" name="Chart 14">
          <a:extLst>
            <a:ext uri="{FF2B5EF4-FFF2-40B4-BE49-F238E27FC236}">
              <a16:creationId xmlns:a16="http://schemas.microsoft.com/office/drawing/2014/main" id="{DFD426D4-A2CA-42E3-BA1D-82AE5F52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123825</xdr:colOff>
      <xdr:row>4</xdr:row>
      <xdr:rowOff>28575</xdr:rowOff>
    </xdr:from>
    <xdr:to>
      <xdr:col>10</xdr:col>
      <xdr:colOff>590550</xdr:colOff>
      <xdr:row>13</xdr:row>
      <xdr:rowOff>133350</xdr:rowOff>
    </xdr:to>
    <xdr:graphicFrame macro="">
      <xdr:nvGraphicFramePr>
        <xdr:cNvPr id="16" name="Chart 15">
          <a:extLst>
            <a:ext uri="{FF2B5EF4-FFF2-40B4-BE49-F238E27FC236}">
              <a16:creationId xmlns:a16="http://schemas.microsoft.com/office/drawing/2014/main" id="{798C85B5-F9F4-42E3-AE5F-B1012B364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476251</xdr:colOff>
      <xdr:row>146</xdr:row>
      <xdr:rowOff>42861</xdr:rowOff>
    </xdr:from>
    <xdr:to>
      <xdr:col>24</xdr:col>
      <xdr:colOff>504826</xdr:colOff>
      <xdr:row>160</xdr:row>
      <xdr:rowOff>119061</xdr:rowOff>
    </xdr:to>
    <xdr:graphicFrame macro="">
      <xdr:nvGraphicFramePr>
        <xdr:cNvPr id="17" name="Chart 16">
          <a:extLst>
            <a:ext uri="{FF2B5EF4-FFF2-40B4-BE49-F238E27FC236}">
              <a16:creationId xmlns:a16="http://schemas.microsoft.com/office/drawing/2014/main" id="{0A046358-48CC-45DD-A45E-0BCB71339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266701</xdr:colOff>
      <xdr:row>50</xdr:row>
      <xdr:rowOff>0</xdr:rowOff>
    </xdr:from>
    <xdr:to>
      <xdr:col>39</xdr:col>
      <xdr:colOff>342901</xdr:colOff>
      <xdr:row>63</xdr:row>
      <xdr:rowOff>38100</xdr:rowOff>
    </xdr:to>
    <xdr:graphicFrame macro="">
      <xdr:nvGraphicFramePr>
        <xdr:cNvPr id="18" name="Chart 17">
          <a:extLst>
            <a:ext uri="{FF2B5EF4-FFF2-40B4-BE49-F238E27FC236}">
              <a16:creationId xmlns:a16="http://schemas.microsoft.com/office/drawing/2014/main" id="{CA8D098D-C028-4B23-9CBC-139EA07EB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261938</xdr:colOff>
      <xdr:row>85</xdr:row>
      <xdr:rowOff>104774</xdr:rowOff>
    </xdr:from>
    <xdr:to>
      <xdr:col>27</xdr:col>
      <xdr:colOff>557213</xdr:colOff>
      <xdr:row>99</xdr:row>
      <xdr:rowOff>180974</xdr:rowOff>
    </xdr:to>
    <xdr:graphicFrame macro="">
      <xdr:nvGraphicFramePr>
        <xdr:cNvPr id="19" name="Chart 18">
          <a:extLst>
            <a:ext uri="{FF2B5EF4-FFF2-40B4-BE49-F238E27FC236}">
              <a16:creationId xmlns:a16="http://schemas.microsoft.com/office/drawing/2014/main" id="{DB080032-F694-4924-9183-CF1DD7FAA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47624</xdr:colOff>
      <xdr:row>44</xdr:row>
      <xdr:rowOff>0</xdr:rowOff>
    </xdr:from>
    <xdr:to>
      <xdr:col>7</xdr:col>
      <xdr:colOff>152399</xdr:colOff>
      <xdr:row>53</xdr:row>
      <xdr:rowOff>171451</xdr:rowOff>
    </xdr:to>
    <xdr:graphicFrame macro="">
      <xdr:nvGraphicFramePr>
        <xdr:cNvPr id="20" name="Chart 19">
          <a:extLst>
            <a:ext uri="{FF2B5EF4-FFF2-40B4-BE49-F238E27FC236}">
              <a16:creationId xmlns:a16="http://schemas.microsoft.com/office/drawing/2014/main" id="{45FE780B-F678-45D2-BD23-CEA6D68D1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19050</xdr:colOff>
      <xdr:row>34</xdr:row>
      <xdr:rowOff>38100</xdr:rowOff>
    </xdr:from>
    <xdr:to>
      <xdr:col>10</xdr:col>
      <xdr:colOff>600075</xdr:colOff>
      <xdr:row>43</xdr:row>
      <xdr:rowOff>123825</xdr:rowOff>
    </xdr:to>
    <xdr:graphicFrame macro="">
      <xdr:nvGraphicFramePr>
        <xdr:cNvPr id="21" name="Chart 20">
          <a:extLst>
            <a:ext uri="{FF2B5EF4-FFF2-40B4-BE49-F238E27FC236}">
              <a16:creationId xmlns:a16="http://schemas.microsoft.com/office/drawing/2014/main" id="{3A115D09-9D81-4996-8B76-CBF86D116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38101</xdr:colOff>
      <xdr:row>14</xdr:row>
      <xdr:rowOff>0</xdr:rowOff>
    </xdr:from>
    <xdr:to>
      <xdr:col>5</xdr:col>
      <xdr:colOff>238125</xdr:colOff>
      <xdr:row>23</xdr:row>
      <xdr:rowOff>95250</xdr:rowOff>
    </xdr:to>
    <xdr:graphicFrame macro="">
      <xdr:nvGraphicFramePr>
        <xdr:cNvPr id="27" name="Chart 26">
          <a:extLst>
            <a:ext uri="{FF2B5EF4-FFF2-40B4-BE49-F238E27FC236}">
              <a16:creationId xmlns:a16="http://schemas.microsoft.com/office/drawing/2014/main" id="{729728EA-FF25-4AC9-A90A-47A4BF84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28573</xdr:colOff>
      <xdr:row>6</xdr:row>
      <xdr:rowOff>123830</xdr:rowOff>
    </xdr:from>
    <xdr:to>
      <xdr:col>2</xdr:col>
      <xdr:colOff>105373</xdr:colOff>
      <xdr:row>8</xdr:row>
      <xdr:rowOff>102830</xdr:rowOff>
    </xdr:to>
    <mc:AlternateContent xmlns:mc="http://schemas.openxmlformats.org/markup-compatibility/2006" xmlns:a14="http://schemas.microsoft.com/office/drawing/2010/main">
      <mc:Choice Requires="a14">
        <xdr:graphicFrame macro="">
          <xdr:nvGraphicFramePr>
            <xdr:cNvPr id="29" name="SALES REP_1 1">
              <a:extLst>
                <a:ext uri="{FF2B5EF4-FFF2-40B4-BE49-F238E27FC236}">
                  <a16:creationId xmlns:a16="http://schemas.microsoft.com/office/drawing/2014/main" id="{9ED9F83F-CE85-484A-B14F-3D527C951BD8}"/>
                </a:ext>
              </a:extLst>
            </xdr:cNvPr>
            <xdr:cNvGraphicFramePr/>
          </xdr:nvGraphicFramePr>
          <xdr:xfrm>
            <a:off x="0" y="0"/>
            <a:ext cx="0" cy="0"/>
          </xdr:xfrm>
          <a:graphic>
            <a:graphicData uri="http://schemas.microsoft.com/office/drawing/2010/slicer">
              <sle:slicer xmlns:sle="http://schemas.microsoft.com/office/drawing/2010/slicer" name="SALES REP_1 1"/>
            </a:graphicData>
          </a:graphic>
        </xdr:graphicFrame>
      </mc:Choice>
      <mc:Fallback xmlns="">
        <xdr:sp macro="" textlink="">
          <xdr:nvSpPr>
            <xdr:cNvPr id="0" name=""/>
            <xdr:cNvSpPr>
              <a:spLocks noTextEdit="1"/>
            </xdr:cNvSpPr>
          </xdr:nvSpPr>
          <xdr:spPr>
            <a:xfrm>
              <a:off x="28573" y="1343030"/>
              <a:ext cx="1296000" cy="3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76200</xdr:rowOff>
    </xdr:from>
    <xdr:to>
      <xdr:col>2</xdr:col>
      <xdr:colOff>95850</xdr:colOff>
      <xdr:row>10</xdr:row>
      <xdr:rowOff>55200</xdr:rowOff>
    </xdr:to>
    <mc:AlternateContent xmlns:mc="http://schemas.openxmlformats.org/markup-compatibility/2006" xmlns:a14="http://schemas.microsoft.com/office/drawing/2010/main">
      <mc:Choice Requires="a14">
        <xdr:graphicFrame macro="">
          <xdr:nvGraphicFramePr>
            <xdr:cNvPr id="30" name="Date_1">
              <a:extLst>
                <a:ext uri="{FF2B5EF4-FFF2-40B4-BE49-F238E27FC236}">
                  <a16:creationId xmlns:a16="http://schemas.microsoft.com/office/drawing/2014/main" id="{C64F9BD3-9044-E81E-991E-CAB1D5EB7289}"/>
                </a:ext>
              </a:extLst>
            </xdr:cNvPr>
            <xdr:cNvGraphicFramePr/>
          </xdr:nvGraphicFramePr>
          <xdr:xfrm>
            <a:off x="0" y="0"/>
            <a:ext cx="0" cy="0"/>
          </xdr:xfrm>
          <a:graphic>
            <a:graphicData uri="http://schemas.microsoft.com/office/drawing/2010/slicer">
              <sle:slicer xmlns:sle="http://schemas.microsoft.com/office/drawing/2010/slicer" name="Date_1"/>
            </a:graphicData>
          </a:graphic>
        </xdr:graphicFrame>
      </mc:Choice>
      <mc:Fallback xmlns="">
        <xdr:sp macro="" textlink="">
          <xdr:nvSpPr>
            <xdr:cNvPr id="0" name=""/>
            <xdr:cNvSpPr>
              <a:spLocks noTextEdit="1"/>
            </xdr:cNvSpPr>
          </xdr:nvSpPr>
          <xdr:spPr>
            <a:xfrm>
              <a:off x="19050" y="1676400"/>
              <a:ext cx="1296000" cy="3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4</xdr:row>
      <xdr:rowOff>171451</xdr:rowOff>
    </xdr:from>
    <xdr:to>
      <xdr:col>2</xdr:col>
      <xdr:colOff>105374</xdr:colOff>
      <xdr:row>6</xdr:row>
      <xdr:rowOff>186451</xdr:rowOff>
    </xdr:to>
    <mc:AlternateContent xmlns:mc="http://schemas.openxmlformats.org/markup-compatibility/2006" xmlns:a14="http://schemas.microsoft.com/office/drawing/2010/main">
      <mc:Choice Requires="a14">
        <xdr:graphicFrame macro="">
          <xdr:nvGraphicFramePr>
            <xdr:cNvPr id="31" name="CATEGORY_1">
              <a:extLst>
                <a:ext uri="{FF2B5EF4-FFF2-40B4-BE49-F238E27FC236}">
                  <a16:creationId xmlns:a16="http://schemas.microsoft.com/office/drawing/2014/main" id="{3ACB2FF3-41DE-056F-CF22-62A1495E2193}"/>
                </a:ext>
              </a:extLst>
            </xdr:cNvPr>
            <xdr:cNvGraphicFramePr/>
          </xdr:nvGraphicFramePr>
          <xdr:xfrm>
            <a:off x="0" y="0"/>
            <a:ext cx="0" cy="0"/>
          </xdr:xfrm>
          <a:graphic>
            <a:graphicData uri="http://schemas.microsoft.com/office/drawing/2010/slicer">
              <sle:slicer xmlns:sle="http://schemas.microsoft.com/office/drawing/2010/slicer" name="CATEGORY_1"/>
            </a:graphicData>
          </a:graphic>
        </xdr:graphicFrame>
      </mc:Choice>
      <mc:Fallback xmlns="">
        <xdr:sp macro="" textlink="">
          <xdr:nvSpPr>
            <xdr:cNvPr id="0" name=""/>
            <xdr:cNvSpPr>
              <a:spLocks noTextEdit="1"/>
            </xdr:cNvSpPr>
          </xdr:nvSpPr>
          <xdr:spPr>
            <a:xfrm>
              <a:off x="28574" y="1009651"/>
              <a:ext cx="1296000" cy="396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10</xdr:row>
      <xdr:rowOff>1</xdr:rowOff>
    </xdr:from>
    <xdr:to>
      <xdr:col>2</xdr:col>
      <xdr:colOff>95850</xdr:colOff>
      <xdr:row>11</xdr:row>
      <xdr:rowOff>169501</xdr:rowOff>
    </xdr:to>
    <mc:AlternateContent xmlns:mc="http://schemas.openxmlformats.org/markup-compatibility/2006" xmlns:a14="http://schemas.microsoft.com/office/drawing/2010/main">
      <mc:Choice Requires="a14">
        <xdr:graphicFrame macro="">
          <xdr:nvGraphicFramePr>
            <xdr:cNvPr id="32" name="AMOUNT_1">
              <a:extLst>
                <a:ext uri="{FF2B5EF4-FFF2-40B4-BE49-F238E27FC236}">
                  <a16:creationId xmlns:a16="http://schemas.microsoft.com/office/drawing/2014/main" id="{5DBA5F67-C955-C960-13D7-7477808F999D}"/>
                </a:ext>
              </a:extLst>
            </xdr:cNvPr>
            <xdr:cNvGraphicFramePr/>
          </xdr:nvGraphicFramePr>
          <xdr:xfrm>
            <a:off x="0" y="0"/>
            <a:ext cx="0" cy="0"/>
          </xdr:xfrm>
          <a:graphic>
            <a:graphicData uri="http://schemas.microsoft.com/office/drawing/2010/slicer">
              <sle:slicer xmlns:sle="http://schemas.microsoft.com/office/drawing/2010/slicer" name="AMOUNT_1"/>
            </a:graphicData>
          </a:graphic>
        </xdr:graphicFrame>
      </mc:Choice>
      <mc:Fallback xmlns="">
        <xdr:sp macro="" textlink="">
          <xdr:nvSpPr>
            <xdr:cNvPr id="0" name=""/>
            <xdr:cNvSpPr>
              <a:spLocks noTextEdit="1"/>
            </xdr:cNvSpPr>
          </xdr:nvSpPr>
          <xdr:spPr>
            <a:xfrm>
              <a:off x="19050" y="1981201"/>
              <a:ext cx="1296000" cy="3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11</xdr:row>
      <xdr:rowOff>161925</xdr:rowOff>
    </xdr:from>
    <xdr:to>
      <xdr:col>2</xdr:col>
      <xdr:colOff>105375</xdr:colOff>
      <xdr:row>13</xdr:row>
      <xdr:rowOff>140925</xdr:rowOff>
    </xdr:to>
    <mc:AlternateContent xmlns:mc="http://schemas.openxmlformats.org/markup-compatibility/2006" xmlns:a14="http://schemas.microsoft.com/office/drawing/2010/main">
      <mc:Choice Requires="a14">
        <xdr:graphicFrame macro="">
          <xdr:nvGraphicFramePr>
            <xdr:cNvPr id="34" name="SALES REP_1 2">
              <a:extLst>
                <a:ext uri="{FF2B5EF4-FFF2-40B4-BE49-F238E27FC236}">
                  <a16:creationId xmlns:a16="http://schemas.microsoft.com/office/drawing/2014/main" id="{9F3B43F6-FDF1-597A-B17B-D6914560826B}"/>
                </a:ext>
              </a:extLst>
            </xdr:cNvPr>
            <xdr:cNvGraphicFramePr/>
          </xdr:nvGraphicFramePr>
          <xdr:xfrm>
            <a:off x="0" y="0"/>
            <a:ext cx="0" cy="0"/>
          </xdr:xfrm>
          <a:graphic>
            <a:graphicData uri="http://schemas.microsoft.com/office/drawing/2010/slicer">
              <sle:slicer xmlns:sle="http://schemas.microsoft.com/office/drawing/2010/slicer" name="SALES REP_1 2"/>
            </a:graphicData>
          </a:graphic>
        </xdr:graphicFrame>
      </mc:Choice>
      <mc:Fallback xmlns="">
        <xdr:sp macro="" textlink="">
          <xdr:nvSpPr>
            <xdr:cNvPr id="0" name=""/>
            <xdr:cNvSpPr>
              <a:spLocks noTextEdit="1"/>
            </xdr:cNvSpPr>
          </xdr:nvSpPr>
          <xdr:spPr>
            <a:xfrm>
              <a:off x="28575" y="2333625"/>
              <a:ext cx="1296000" cy="3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xdr:row>
      <xdr:rowOff>19050</xdr:rowOff>
    </xdr:from>
    <xdr:to>
      <xdr:col>2</xdr:col>
      <xdr:colOff>104775</xdr:colOff>
      <xdr:row>4</xdr:row>
      <xdr:rowOff>188550</xdr:rowOff>
    </xdr:to>
    <mc:AlternateContent xmlns:mc="http://schemas.openxmlformats.org/markup-compatibility/2006" xmlns:a14="http://schemas.microsoft.com/office/drawing/2010/main">
      <mc:Choice Requires="a14">
        <xdr:graphicFrame macro="">
          <xdr:nvGraphicFramePr>
            <xdr:cNvPr id="39" name="REGION_1 1">
              <a:extLst>
                <a:ext uri="{FF2B5EF4-FFF2-40B4-BE49-F238E27FC236}">
                  <a16:creationId xmlns:a16="http://schemas.microsoft.com/office/drawing/2014/main" id="{A8E90F4F-0A51-9E6B-3017-ED91DDC7BDC1}"/>
                </a:ext>
              </a:extLst>
            </xdr:cNvPr>
            <xdr:cNvGraphicFramePr/>
          </xdr:nvGraphicFramePr>
          <xdr:xfrm>
            <a:off x="0" y="0"/>
            <a:ext cx="0" cy="0"/>
          </xdr:xfrm>
          <a:graphic>
            <a:graphicData uri="http://schemas.microsoft.com/office/drawing/2010/slicer">
              <sle:slicer xmlns:sle="http://schemas.microsoft.com/office/drawing/2010/slicer" name="REGION_1 1"/>
            </a:graphicData>
          </a:graphic>
        </xdr:graphicFrame>
      </mc:Choice>
      <mc:Fallback xmlns="">
        <xdr:sp macro="" textlink="">
          <xdr:nvSpPr>
            <xdr:cNvPr id="0" name=""/>
            <xdr:cNvSpPr>
              <a:spLocks noTextEdit="1"/>
            </xdr:cNvSpPr>
          </xdr:nvSpPr>
          <xdr:spPr>
            <a:xfrm>
              <a:off x="28575" y="590550"/>
              <a:ext cx="1548000" cy="3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142876</xdr:colOff>
      <xdr:row>2</xdr:row>
      <xdr:rowOff>76200</xdr:rowOff>
    </xdr:from>
    <xdr:to>
      <xdr:col>10</xdr:col>
      <xdr:colOff>590550</xdr:colOff>
      <xdr:row>3</xdr:row>
      <xdr:rowOff>152400</xdr:rowOff>
    </xdr:to>
    <xdr:graphicFrame macro="">
      <xdr:nvGraphicFramePr>
        <xdr:cNvPr id="3" name="Chart 2">
          <a:extLst>
            <a:ext uri="{FF2B5EF4-FFF2-40B4-BE49-F238E27FC236}">
              <a16:creationId xmlns:a16="http://schemas.microsoft.com/office/drawing/2014/main" id="{5D855454-2042-40F3-A3CC-D7EA7239A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38100</xdr:colOff>
      <xdr:row>23</xdr:row>
      <xdr:rowOff>142875</xdr:rowOff>
    </xdr:from>
    <xdr:to>
      <xdr:col>4</xdr:col>
      <xdr:colOff>171450</xdr:colOff>
      <xdr:row>28</xdr:row>
      <xdr:rowOff>104775</xdr:rowOff>
    </xdr:to>
    <xdr:graphicFrame macro="">
      <xdr:nvGraphicFramePr>
        <xdr:cNvPr id="4" name="Chart 3">
          <a:extLst>
            <a:ext uri="{FF2B5EF4-FFF2-40B4-BE49-F238E27FC236}">
              <a16:creationId xmlns:a16="http://schemas.microsoft.com/office/drawing/2014/main" id="{EC1133C2-C1A7-4A52-982B-227F3CD89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38100</xdr:colOff>
      <xdr:row>28</xdr:row>
      <xdr:rowOff>161925</xdr:rowOff>
    </xdr:from>
    <xdr:to>
      <xdr:col>4</xdr:col>
      <xdr:colOff>171450</xdr:colOff>
      <xdr:row>33</xdr:row>
      <xdr:rowOff>180975</xdr:rowOff>
    </xdr:to>
    <xdr:graphicFrame macro="">
      <xdr:nvGraphicFramePr>
        <xdr:cNvPr id="14" name="Chart 13">
          <a:extLst>
            <a:ext uri="{FF2B5EF4-FFF2-40B4-BE49-F238E27FC236}">
              <a16:creationId xmlns:a16="http://schemas.microsoft.com/office/drawing/2014/main" id="{1C5856BB-D245-41C0-89B8-FBC317298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xdr:colOff>
      <xdr:row>0</xdr:row>
      <xdr:rowOff>38100</xdr:rowOff>
    </xdr:from>
    <xdr:to>
      <xdr:col>2</xdr:col>
      <xdr:colOff>104775</xdr:colOff>
      <xdr:row>2</xdr:row>
      <xdr:rowOff>238126</xdr:rowOff>
    </xdr:to>
    <xdr:sp macro="" textlink="">
      <xdr:nvSpPr>
        <xdr:cNvPr id="38" name="Rectangle 37">
          <a:extLst>
            <a:ext uri="{FF2B5EF4-FFF2-40B4-BE49-F238E27FC236}">
              <a16:creationId xmlns:a16="http://schemas.microsoft.com/office/drawing/2014/main" id="{D14EBDED-EFA4-4502-89F9-5A4470A9B0C5}"/>
            </a:ext>
          </a:extLst>
        </xdr:cNvPr>
        <xdr:cNvSpPr/>
      </xdr:nvSpPr>
      <xdr:spPr>
        <a:xfrm flipV="1">
          <a:off x="38100" y="38100"/>
          <a:ext cx="1285875" cy="581026"/>
        </a:xfrm>
        <a:prstGeom prst="rect">
          <a:avLst/>
        </a:prstGeom>
        <a:solidFill>
          <a:schemeClr val="accent6">
            <a:lumMod val="40000"/>
            <a:lumOff val="60000"/>
          </a:schemeClr>
        </a:solidFill>
        <a:ln cmpd="sng">
          <a:solidFill>
            <a:srgbClr val="FF0000"/>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2</xdr:col>
      <xdr:colOff>238125</xdr:colOff>
      <xdr:row>3</xdr:row>
      <xdr:rowOff>95251</xdr:rowOff>
    </xdr:to>
    <xdr:grpSp>
      <xdr:nvGrpSpPr>
        <xdr:cNvPr id="57" name="Group 56">
          <a:extLst>
            <a:ext uri="{FF2B5EF4-FFF2-40B4-BE49-F238E27FC236}">
              <a16:creationId xmlns:a16="http://schemas.microsoft.com/office/drawing/2014/main" id="{A3BA41A5-5E0C-9620-B901-57C231ADA1D3}"/>
            </a:ext>
          </a:extLst>
        </xdr:cNvPr>
        <xdr:cNvGrpSpPr/>
      </xdr:nvGrpSpPr>
      <xdr:grpSpPr>
        <a:xfrm>
          <a:off x="0" y="0"/>
          <a:ext cx="1457325" cy="742951"/>
          <a:chOff x="0" y="0"/>
          <a:chExt cx="1466850" cy="742951"/>
        </a:xfrm>
      </xdr:grpSpPr>
      <xdr:pic>
        <xdr:nvPicPr>
          <xdr:cNvPr id="44" name="Picture 43">
            <a:extLst>
              <a:ext uri="{FF2B5EF4-FFF2-40B4-BE49-F238E27FC236}">
                <a16:creationId xmlns:a16="http://schemas.microsoft.com/office/drawing/2014/main" id="{5DA2E8B1-B0DE-7641-9FE0-A6BEA4254F4C}"/>
              </a:ext>
            </a:extLst>
          </xdr:cNvPr>
          <xdr:cNvPicPr>
            <a:picLocks noChangeAspect="1"/>
          </xdr:cNvPicPr>
        </xdr:nvPicPr>
        <xdr:blipFill>
          <a:blip xmlns:r="http://schemas.openxmlformats.org/officeDocument/2006/relationships" r:embed="rId19"/>
          <a:stretch>
            <a:fillRect/>
          </a:stretch>
        </xdr:blipFill>
        <xdr:spPr>
          <a:xfrm>
            <a:off x="0" y="1"/>
            <a:ext cx="504825" cy="742950"/>
          </a:xfrm>
          <a:prstGeom prst="rect">
            <a:avLst/>
          </a:prstGeom>
        </xdr:spPr>
      </xdr:pic>
      <xdr:sp macro="" textlink="">
        <xdr:nvSpPr>
          <xdr:cNvPr id="48" name="TextBox 47">
            <a:extLst>
              <a:ext uri="{FF2B5EF4-FFF2-40B4-BE49-F238E27FC236}">
                <a16:creationId xmlns:a16="http://schemas.microsoft.com/office/drawing/2014/main" id="{515990FF-FD92-28A9-54DA-A6915955163E}"/>
              </a:ext>
            </a:extLst>
          </xdr:cNvPr>
          <xdr:cNvSpPr txBox="1"/>
        </xdr:nvSpPr>
        <xdr:spPr>
          <a:xfrm>
            <a:off x="323850" y="0"/>
            <a:ext cx="1143000"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009900"/>
                </a:solidFill>
              </a:rPr>
              <a:t>D-LITE</a:t>
            </a:r>
          </a:p>
          <a:p>
            <a:pPr algn="l"/>
            <a:r>
              <a:rPr lang="en-US" sz="1000" b="0">
                <a:solidFill>
                  <a:srgbClr val="009900"/>
                </a:solidFill>
                <a:latin typeface="Baskerville Old Face" panose="02020602080505020303" pitchFamily="18" charset="0"/>
              </a:rPr>
              <a:t>ELECTRONICS</a:t>
            </a:r>
          </a:p>
          <a:p>
            <a:pPr algn="l"/>
            <a:r>
              <a:rPr lang="en-US" sz="1050" b="0">
                <a:solidFill>
                  <a:srgbClr val="009900"/>
                </a:solidFill>
                <a:latin typeface="Baskerville Old Face" panose="02020602080505020303" pitchFamily="18" charset="0"/>
              </a:rPr>
              <a:t>LIMITED</a:t>
            </a:r>
            <a:endParaRPr lang="en-NG" sz="1050" b="0">
              <a:solidFill>
                <a:srgbClr val="009900"/>
              </a:solidFill>
              <a:latin typeface="Baskerville Old Face" panose="02020602080505020303"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4.721742013891" createdVersion="8" refreshedVersion="8" minRefreshableVersion="3" recordCount="100" xr:uid="{650EE568-F5A4-4A65-9165-DFC9CDE695EC}">
  <cacheSource type="worksheet">
    <worksheetSource name="Table1"/>
  </cacheSource>
  <cacheFields count="16">
    <cacheField name="Date_1" numFmtId="164">
      <sharedItems containsSemiMixedTypes="0" containsNonDate="0" containsDate="1" containsString="0" minDate="2025-06-13T00:00:00" maxDate="2025-09-21T00:00:00" count="1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sharedItems>
      <fieldGroup par="15"/>
    </cacheField>
    <cacheField name="Region" numFmtId="49">
      <sharedItems/>
    </cacheField>
    <cacheField name="Product" numFmtId="0">
      <sharedItems/>
    </cacheField>
    <cacheField name="Category" numFmtId="0">
      <sharedItems/>
    </cacheField>
    <cacheField name="Units Sold_1" numFmtId="165">
      <sharedItems containsSemiMixedTypes="0" containsString="0" containsNumber="1" containsInteger="1" minValue="1" maxValue="20"/>
    </cacheField>
    <cacheField name="Unit Price_1" numFmtId="166">
      <sharedItems containsSemiMixedTypes="0" containsString="0" containsNumber="1" containsInteger="1" minValue="3500" maxValue="2500000"/>
    </cacheField>
    <cacheField name="Sales Rep" numFmtId="49">
      <sharedItems/>
    </cacheField>
    <cacheField name="Customer" numFmtId="49">
      <sharedItems/>
    </cacheField>
    <cacheField name="REGION_1" numFmtId="0">
      <sharedItems count="5">
        <s v="South"/>
        <s v="East"/>
        <s v="North"/>
        <s v="West"/>
        <s v="B" u="1"/>
      </sharedItems>
    </cacheField>
    <cacheField name="PRODUCT_1" numFmtId="0">
      <sharedItems count="9">
        <s v="Laptop A15"/>
        <s v="Tv 43Q"/>
        <s v="Phone X12"/>
        <s v="Monitor M24"/>
        <s v="Camera C100"/>
        <s v="Tablet T8"/>
        <s v="Speaker S10"/>
        <s v="Unknown" u="1"/>
        <s v="Laptop A15 " u="1"/>
      </sharedItems>
    </cacheField>
    <cacheField name="CATEGORY_1" numFmtId="0">
      <sharedItems count="6">
        <s v="Computers"/>
        <s v="Electronics"/>
        <s v="Mobile"/>
        <s v="Peripherals"/>
        <s v="Photography"/>
        <s v="Audio"/>
      </sharedItems>
    </cacheField>
    <cacheField name="SALES REP_1" numFmtId="0">
      <sharedItems count="10">
        <s v="Peter Obi"/>
        <s v="Ifeanyi Okafor"/>
        <s v="Fola Balogun"/>
        <s v="Aisha Bello"/>
        <s v="Chinedu Nwosu"/>
        <s v="Mary John"/>
        <s v="Grace Amos"/>
        <s v="Job Austin"/>
        <s v="Aba Joel"/>
        <s v="Praise Odunayo"/>
      </sharedItems>
    </cacheField>
    <cacheField name="CUSTOMER_1" numFmtId="0">
      <sharedItems count="14">
        <s v="Bright Solutions"/>
        <s v="Musa Enterprises"/>
        <s v="Zainab Global"/>
        <s v="Jide Superstores"/>
        <s v="Chika Mart"/>
        <s v="Alpha Retailers"/>
        <s v="Omega Wholesale"/>
        <s v="Kelvin Tech"/>
        <s v="Emeka Traders"/>
        <s v="Tola Ventures"/>
        <s v="Femi Tech"/>
        <s v="Maryam Ltd"/>
        <s v="Tope &amp; Sons"/>
        <s v="Adewale Stores"/>
      </sharedItems>
    </cacheField>
    <cacheField name="AMOUNT_1" numFmtId="166">
      <sharedItems containsSemiMixedTypes="0" containsString="0" containsNumber="1" containsInteger="1" minValue="59500" maxValue="50000000" count="71">
        <n v="20000000"/>
        <n v="2100000"/>
        <n v="2520000"/>
        <n v="1170000"/>
        <n v="900000"/>
        <n v="2991113"/>
        <n v="1050000"/>
        <n v="130000"/>
        <n v="2450000"/>
        <n v="600000"/>
        <n v="3000000"/>
        <n v="510000"/>
        <n v="150000"/>
        <n v="630000"/>
        <n v="170000"/>
        <n v="682385"/>
        <n v="1750000"/>
        <n v="525000"/>
        <n v="875000"/>
        <n v="5000000"/>
        <n v="350000"/>
        <n v="1200000"/>
        <n v="4750000"/>
        <n v="935000"/>
        <n v="1105000"/>
        <n v="5250000"/>
        <n v="2800000"/>
        <n v="4900000"/>
        <n v="1800000"/>
        <n v="1400000"/>
        <n v="50000000"/>
        <n v="780000"/>
        <n v="294960"/>
        <n v="3150000"/>
        <n v="650000"/>
        <n v="450000"/>
        <n v="1440000"/>
        <n v="750000"/>
        <n v="1530000"/>
        <n v="1350000"/>
        <n v="2700000"/>
        <n v="1650000"/>
        <n v="2850000"/>
        <n v="595000"/>
        <n v="752856"/>
        <n v="11700000"/>
        <n v="325000"/>
        <n v="4550000"/>
        <n v="6650000"/>
        <n v="1620000"/>
        <n v="1500000"/>
        <n v="850000"/>
        <n v="125000"/>
        <n v="3850000"/>
        <n v="3500000"/>
        <n v="2400000"/>
        <n v="3250000"/>
        <n v="715000"/>
        <n v="59500"/>
        <n v="2340000"/>
        <n v="425000"/>
        <n v="5950000"/>
        <n v="2550000"/>
        <n v="1235000"/>
        <n v="720000"/>
        <n v="27500000"/>
        <n v="624631"/>
        <n v="1250000"/>
        <n v="3325000"/>
        <n v="2975000"/>
        <n v="7000000"/>
      </sharedItems>
    </cacheField>
    <cacheField name="Days (Date_1)" numFmtId="0" databaseField="0">
      <fieldGroup base="0">
        <rangePr groupBy="days" startDate="2025-06-13T00:00:00" endDate="2025-09-21T00:00:00"/>
        <groupItems count="368">
          <s v="&lt;13/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9/2025"/>
        </groupItems>
      </fieldGroup>
    </cacheField>
    <cacheField name="Months (Date_1)" numFmtId="0" databaseField="0">
      <fieldGroup base="0">
        <rangePr groupBy="months" startDate="2025-06-13T00:00:00" endDate="2025-09-21T00:00:00"/>
        <groupItems count="14">
          <s v="&lt;13/06/2025"/>
          <s v="Jan"/>
          <s v="Feb"/>
          <s v="Mar"/>
          <s v="Apr"/>
          <s v="May"/>
          <s v="Jun"/>
          <s v="Jul"/>
          <s v="Aug"/>
          <s v="Sep"/>
          <s v="Oct"/>
          <s v="Nov"/>
          <s v="Dec"/>
          <s v="&gt;21/09/2025"/>
        </groupItems>
      </fieldGroup>
    </cacheField>
  </cacheFields>
  <extLst>
    <ext xmlns:x14="http://schemas.microsoft.com/office/spreadsheetml/2009/9/main" uri="{725AE2AE-9491-48be-B2B4-4EB974FC3084}">
      <x14:pivotCacheDefinition pivotCacheId="1650509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outh"/>
    <s v="LAPTOP A15"/>
    <s v="computers"/>
    <n v="8"/>
    <n v="2500000"/>
    <s v="  Peter Obi   "/>
    <s v="bright solutions"/>
    <x v="0"/>
    <x v="0"/>
    <x v="0"/>
    <x v="0"/>
    <x v="0"/>
    <x v="0"/>
  </r>
  <r>
    <x v="1"/>
    <s v=" EAST"/>
    <s v="tv  43q"/>
    <s v="ELECTRONICS"/>
    <n v="6"/>
    <n v="350000"/>
    <s v="Ifeanyi Okafor  "/>
    <s v="Musa Enterprises"/>
    <x v="1"/>
    <x v="1"/>
    <x v="1"/>
    <x v="1"/>
    <x v="1"/>
    <x v="1"/>
  </r>
  <r>
    <x v="2"/>
    <s v="North_x0009_"/>
    <s v="PHONE X12"/>
    <s v="Mobile"/>
    <n v="14"/>
    <n v="180000"/>
    <s v="fola balogun"/>
    <s v=" ZAINAB GLOBAL"/>
    <x v="2"/>
    <x v="2"/>
    <x v="2"/>
    <x v="2"/>
    <x v="2"/>
    <x v="2"/>
  </r>
  <r>
    <x v="3"/>
    <s v="South"/>
    <s v=" MONITOR M24"/>
    <s v="  PERIPHERALS"/>
    <n v="18"/>
    <n v="65000"/>
    <s v="IFEANYI OKAFOR"/>
    <s v=" Jide Superstores"/>
    <x v="0"/>
    <x v="3"/>
    <x v="3"/>
    <x v="1"/>
    <x v="3"/>
    <x v="3"/>
  </r>
  <r>
    <x v="4"/>
    <s v="WEST"/>
    <s v="  Phone X12"/>
    <s v=" Mobile"/>
    <n v="5"/>
    <n v="180000"/>
    <s v="peter obi"/>
    <s v="chika  mart"/>
    <x v="3"/>
    <x v="2"/>
    <x v="2"/>
    <x v="0"/>
    <x v="4"/>
    <x v="4"/>
  </r>
  <r>
    <x v="5"/>
    <s v="east"/>
    <s v="  Phone X12"/>
    <s v="Mobile"/>
    <n v="19"/>
    <n v="157427"/>
    <s v="IFEANYI  OKAFOR"/>
    <s v="Musa  Enterprises"/>
    <x v="1"/>
    <x v="2"/>
    <x v="2"/>
    <x v="1"/>
    <x v="1"/>
    <x v="5"/>
  </r>
  <r>
    <x v="6"/>
    <s v=" WEST "/>
    <s v="  tv 43q"/>
    <s v=" Electronics"/>
    <n v="3"/>
    <n v="350000"/>
    <s v="AISHA  BELLO"/>
    <s v="chika  mart"/>
    <x v="3"/>
    <x v="1"/>
    <x v="1"/>
    <x v="3"/>
    <x v="4"/>
    <x v="6"/>
  </r>
  <r>
    <x v="7"/>
    <s v="west  "/>
    <s v=" MONITOR M24"/>
    <s v="peripherals"/>
    <n v="2"/>
    <n v="65000"/>
    <s v="peter obi"/>
    <s v="Musa Enterprises"/>
    <x v="3"/>
    <x v="3"/>
    <x v="3"/>
    <x v="0"/>
    <x v="1"/>
    <x v="7"/>
  </r>
  <r>
    <x v="8"/>
    <s v=" East "/>
    <s v=" CAMERA C100"/>
    <s v="PHOTOGRAPHY"/>
    <n v="14"/>
    <n v="175000"/>
    <s v=" fola balogun "/>
    <s v="BRIGht  SOLUTIONS"/>
    <x v="1"/>
    <x v="4"/>
    <x v="4"/>
    <x v="2"/>
    <x v="0"/>
    <x v="8"/>
  </r>
  <r>
    <x v="9"/>
    <s v="WEST"/>
    <s v="Tablet T8"/>
    <s v="  mobile"/>
    <n v="4"/>
    <n v="150000"/>
    <s v="  Peter Obi "/>
    <s v="Alpha Retailers"/>
    <x v="3"/>
    <x v="5"/>
    <x v="2"/>
    <x v="0"/>
    <x v="5"/>
    <x v="9"/>
  </r>
  <r>
    <x v="10"/>
    <s v="South"/>
    <s v=" TABLET T8"/>
    <s v="  mobile"/>
    <n v="20"/>
    <n v="150000"/>
    <s v="fola  balogun"/>
    <s v="Musa Enterprises"/>
    <x v="0"/>
    <x v="5"/>
    <x v="2"/>
    <x v="2"/>
    <x v="1"/>
    <x v="10"/>
  </r>
  <r>
    <x v="11"/>
    <s v="North"/>
    <s v="Speaker S10"/>
    <s v=" Audio"/>
    <n v="6"/>
    <n v="85000"/>
    <s v="Aisha Bello"/>
    <s v="Omega Wholesale"/>
    <x v="2"/>
    <x v="6"/>
    <x v="5"/>
    <x v="3"/>
    <x v="6"/>
    <x v="11"/>
  </r>
  <r>
    <x v="12"/>
    <s v=" WEST "/>
    <s v="Tablet T8"/>
    <s v="Mobile"/>
    <n v="1"/>
    <n v="150000"/>
    <s v="  AISHA BELLO"/>
    <s v="kelvin tech"/>
    <x v="3"/>
    <x v="5"/>
    <x v="2"/>
    <x v="3"/>
    <x v="7"/>
    <x v="12"/>
  </r>
  <r>
    <x v="13"/>
    <s v=" EAST"/>
    <s v=" tv 43q"/>
    <s v="ELECTRONICS"/>
    <n v="18"/>
    <n v="35000"/>
    <s v="Chinedu  Nwosu"/>
    <s v="EMEKA  TRADERS"/>
    <x v="1"/>
    <x v="1"/>
    <x v="1"/>
    <x v="4"/>
    <x v="8"/>
    <x v="13"/>
  </r>
  <r>
    <x v="14"/>
    <s v="South"/>
    <s v=" Speaker S10"/>
    <s v=" Audio"/>
    <n v="2"/>
    <n v="85000"/>
    <s v="Ifeanyi Okafor  "/>
    <s v="bright solutions"/>
    <x v="0"/>
    <x v="6"/>
    <x v="5"/>
    <x v="1"/>
    <x v="0"/>
    <x v="14"/>
  </r>
  <r>
    <x v="15"/>
    <s v="East  "/>
    <s v="monitor m24"/>
    <s v=" Peripherals"/>
    <n v="11"/>
    <n v="62035"/>
    <s v="chinedu nwosu   "/>
    <s v="tola  ventures"/>
    <x v="1"/>
    <x v="3"/>
    <x v="3"/>
    <x v="4"/>
    <x v="9"/>
    <x v="15"/>
  </r>
  <r>
    <x v="16"/>
    <s v="east"/>
    <s v="Camera C100"/>
    <s v="PHOTOGRAPHY"/>
    <n v="10"/>
    <n v="175000"/>
    <s v=" fola balogun "/>
    <s v="Omega Wholesale"/>
    <x v="1"/>
    <x v="4"/>
    <x v="4"/>
    <x v="2"/>
    <x v="6"/>
    <x v="16"/>
  </r>
  <r>
    <x v="17"/>
    <s v="  West"/>
    <s v="Tablet T8"/>
    <s v="Mobile"/>
    <n v="4"/>
    <n v="150000"/>
    <s v="  mary john "/>
    <s v="  Jide Superstores"/>
    <x v="3"/>
    <x v="5"/>
    <x v="2"/>
    <x v="5"/>
    <x v="3"/>
    <x v="9"/>
  </r>
  <r>
    <x v="18"/>
    <s v="WEST"/>
    <s v=" CAMERA C100"/>
    <s v="PHOTOGRAPHY"/>
    <n v="3"/>
    <n v="175000"/>
    <s v="Grace  Amos"/>
    <s v="Femi Tech"/>
    <x v="3"/>
    <x v="4"/>
    <x v="4"/>
    <x v="6"/>
    <x v="10"/>
    <x v="17"/>
  </r>
  <r>
    <x v="19"/>
    <s v=" North"/>
    <s v="Camera C100"/>
    <s v="PHOTOGRAPHY"/>
    <n v="5"/>
    <n v="175000"/>
    <s v="Chinedu Nwosu"/>
    <s v="Femi Tech"/>
    <x v="2"/>
    <x v="4"/>
    <x v="4"/>
    <x v="4"/>
    <x v="10"/>
    <x v="18"/>
  </r>
  <r>
    <x v="20"/>
    <s v=" East "/>
    <s v="LAPTOP A15"/>
    <s v="computers"/>
    <n v="20"/>
    <n v="250000"/>
    <s v="GRACE AMOS "/>
    <s v="Musa  Enterprises"/>
    <x v="1"/>
    <x v="0"/>
    <x v="0"/>
    <x v="6"/>
    <x v="1"/>
    <x v="19"/>
  </r>
  <r>
    <x v="21"/>
    <s v="east"/>
    <s v=" CAMERA C100"/>
    <s v="  Photography"/>
    <n v="2"/>
    <n v="175000"/>
    <s v="PETER  OBI"/>
    <s v="Emeka Traders"/>
    <x v="1"/>
    <x v="4"/>
    <x v="4"/>
    <x v="0"/>
    <x v="8"/>
    <x v="20"/>
  </r>
  <r>
    <x v="22"/>
    <s v="east"/>
    <s v="Tablet T8"/>
    <s v="  mobile"/>
    <n v="20"/>
    <n v="150000"/>
    <s v=" fola balogun "/>
    <s v="Maryam Ltd"/>
    <x v="1"/>
    <x v="5"/>
    <x v="2"/>
    <x v="2"/>
    <x v="11"/>
    <x v="10"/>
  </r>
  <r>
    <x v="23"/>
    <s v="North"/>
    <s v=" TABLET T8"/>
    <s v="Mobile"/>
    <n v="8"/>
    <n v="150000"/>
    <s v=" ifeanyi okafor "/>
    <s v="omega  wholesale"/>
    <x v="2"/>
    <x v="5"/>
    <x v="2"/>
    <x v="1"/>
    <x v="6"/>
    <x v="21"/>
  </r>
  <r>
    <x v="24"/>
    <s v="  West "/>
    <s v="LAPTOP A15"/>
    <s v=" Computers"/>
    <n v="19"/>
    <n v="250000"/>
    <s v=" Grace Amos "/>
    <s v="Femi Tech"/>
    <x v="3"/>
    <x v="0"/>
    <x v="0"/>
    <x v="6"/>
    <x v="10"/>
    <x v="22"/>
  </r>
  <r>
    <x v="25"/>
    <s v=" EAST"/>
    <s v="Camera C100"/>
    <s v="PHOTOGRAPHY"/>
    <n v="12"/>
    <n v="175000"/>
    <s v="chinedu nwosu "/>
    <s v="Omega Wholesale"/>
    <x v="1"/>
    <x v="4"/>
    <x v="4"/>
    <x v="4"/>
    <x v="6"/>
    <x v="1"/>
  </r>
  <r>
    <x v="26"/>
    <s v="North"/>
    <s v=" Speaker S10"/>
    <s v=" Audio"/>
    <n v="11"/>
    <n v="85000"/>
    <s v="grace amos"/>
    <s v="  Femi Tech"/>
    <x v="2"/>
    <x v="6"/>
    <x v="5"/>
    <x v="6"/>
    <x v="10"/>
    <x v="23"/>
  </r>
  <r>
    <x v="27"/>
    <s v="North"/>
    <s v=" Monitor M24 "/>
    <s v="peripherals"/>
    <n v="17"/>
    <n v="65000"/>
    <s v="Chinedu Nwosu"/>
    <s v=" Kelvin Tech"/>
    <x v="2"/>
    <x v="3"/>
    <x v="3"/>
    <x v="4"/>
    <x v="7"/>
    <x v="24"/>
  </r>
  <r>
    <x v="28"/>
    <s v="  South"/>
    <s v="TV  43Q "/>
    <s v="ELECTRONICS"/>
    <n v="15"/>
    <n v="350000"/>
    <s v="Job Austin"/>
    <s v=" ZAINAB GLOBAL"/>
    <x v="0"/>
    <x v="1"/>
    <x v="1"/>
    <x v="7"/>
    <x v="2"/>
    <x v="25"/>
  </r>
  <r>
    <x v="29"/>
    <s v="west  "/>
    <s v="tv  43q"/>
    <s v="ELECTRONICS"/>
    <n v="8"/>
    <n v="350000"/>
    <s v="peter  obi "/>
    <s v=" Femi Tech"/>
    <x v="3"/>
    <x v="1"/>
    <x v="1"/>
    <x v="0"/>
    <x v="10"/>
    <x v="26"/>
  </r>
  <r>
    <x v="30"/>
    <s v="WEST"/>
    <s v="tv  43q"/>
    <s v="ELECTRONICS"/>
    <n v="14"/>
    <n v="350000"/>
    <s v="Chinedu  Nwosu"/>
    <s v="Tope &amp; Sons"/>
    <x v="3"/>
    <x v="1"/>
    <x v="1"/>
    <x v="4"/>
    <x v="12"/>
    <x v="27"/>
  </r>
  <r>
    <x v="31"/>
    <s v="east"/>
    <s v="Tablet T8"/>
    <s v="Mobile"/>
    <n v="12"/>
    <n v="150000"/>
    <s v="fola balogun"/>
    <s v="Alpha Retailers"/>
    <x v="1"/>
    <x v="5"/>
    <x v="2"/>
    <x v="2"/>
    <x v="5"/>
    <x v="28"/>
  </r>
  <r>
    <x v="32"/>
    <s v="North"/>
    <s v="Camera  C100"/>
    <s v=" PHOTOGRAPHY"/>
    <n v="8"/>
    <n v="175000"/>
    <s v="peter obi"/>
    <s v="Alpha  Retailers"/>
    <x v="2"/>
    <x v="4"/>
    <x v="4"/>
    <x v="0"/>
    <x v="5"/>
    <x v="29"/>
  </r>
  <r>
    <x v="33"/>
    <s v="South"/>
    <s v="Tablet T8 "/>
    <s v="Mobile"/>
    <n v="6"/>
    <n v="150000"/>
    <s v=" Peter Obi "/>
    <s v="Femi  Tech"/>
    <x v="0"/>
    <x v="5"/>
    <x v="2"/>
    <x v="0"/>
    <x v="10"/>
    <x v="4"/>
  </r>
  <r>
    <x v="34"/>
    <s v="WEST"/>
    <s v="LAPTOP A15"/>
    <s v="computers"/>
    <n v="20"/>
    <n v="2500000"/>
    <s v="peter obi"/>
    <s v="Omega Wholesale"/>
    <x v="3"/>
    <x v="0"/>
    <x v="0"/>
    <x v="0"/>
    <x v="6"/>
    <x v="30"/>
  </r>
  <r>
    <x v="35"/>
    <s v="South"/>
    <s v="Monitor  M24"/>
    <s v="peripherals"/>
    <n v="12"/>
    <n v="65000"/>
    <s v="peter obi"/>
    <s v="maryam  ltd"/>
    <x v="0"/>
    <x v="3"/>
    <x v="3"/>
    <x v="0"/>
    <x v="11"/>
    <x v="31"/>
  </r>
  <r>
    <x v="36"/>
    <s v="South"/>
    <s v="Monitor  M24 "/>
    <s v="Peripherals "/>
    <n v="4"/>
    <n v="73740"/>
    <s v=" Mary John "/>
    <s v="TOPE  &amp; SONS"/>
    <x v="0"/>
    <x v="3"/>
    <x v="3"/>
    <x v="5"/>
    <x v="12"/>
    <x v="32"/>
  </r>
  <r>
    <x v="37"/>
    <s v=" East "/>
    <s v="Camera C100"/>
    <s v="PHOTOGRAPHY"/>
    <n v="18"/>
    <n v="175000"/>
    <s v=" GRACE AMOS"/>
    <s v="bright solutions"/>
    <x v="1"/>
    <x v="4"/>
    <x v="4"/>
    <x v="6"/>
    <x v="0"/>
    <x v="33"/>
  </r>
  <r>
    <x v="38"/>
    <s v="  North"/>
    <s v=" PHONE X12 "/>
    <s v="Mobile"/>
    <n v="10"/>
    <n v="180000"/>
    <s v="  mary john "/>
    <s v="Chika Mart"/>
    <x v="2"/>
    <x v="2"/>
    <x v="2"/>
    <x v="5"/>
    <x v="4"/>
    <x v="28"/>
  </r>
  <r>
    <x v="39"/>
    <s v="east"/>
    <s v="Monitor  M24"/>
    <s v="peripherals"/>
    <n v="10"/>
    <n v="65000"/>
    <s v="Aba Joel"/>
    <s v=" Musa Enterprises"/>
    <x v="1"/>
    <x v="3"/>
    <x v="3"/>
    <x v="8"/>
    <x v="1"/>
    <x v="34"/>
  </r>
  <r>
    <x v="40"/>
    <s v="NORTH  "/>
    <s v="Tablet T8"/>
    <s v="Mobile"/>
    <n v="3"/>
    <n v="150000"/>
    <s v=" mary john _x0009_"/>
    <s v="Tope &amp; Sons"/>
    <x v="2"/>
    <x v="5"/>
    <x v="2"/>
    <x v="5"/>
    <x v="12"/>
    <x v="35"/>
  </r>
  <r>
    <x v="41"/>
    <s v="South"/>
    <s v="  PHONE X12 "/>
    <s v="Mobile"/>
    <n v="8"/>
    <n v="180000"/>
    <s v="  AISHA BELLO"/>
    <s v="Omega Wholesale"/>
    <x v="0"/>
    <x v="2"/>
    <x v="2"/>
    <x v="3"/>
    <x v="6"/>
    <x v="36"/>
  </r>
  <r>
    <x v="42"/>
    <s v="South"/>
    <s v="LAPTOP A15"/>
    <s v=" Computers"/>
    <n v="3"/>
    <n v="250000"/>
    <s v=" Mary John"/>
    <s v="chika  mart"/>
    <x v="0"/>
    <x v="0"/>
    <x v="0"/>
    <x v="5"/>
    <x v="4"/>
    <x v="37"/>
  </r>
  <r>
    <x v="43"/>
    <s v="  east"/>
    <s v="SPEAKER  S10 "/>
    <s v="Audio"/>
    <n v="18"/>
    <n v="85000"/>
    <s v="ifeanyi okafor "/>
    <s v="Alpha  Retailers"/>
    <x v="1"/>
    <x v="6"/>
    <x v="5"/>
    <x v="1"/>
    <x v="5"/>
    <x v="38"/>
  </r>
  <r>
    <x v="44"/>
    <s v="west_x0009_"/>
    <s v="Tablet  T8"/>
    <s v="Mobile"/>
    <n v="9"/>
    <n v="150000"/>
    <s v="Mary John "/>
    <s v="kelvin tech"/>
    <x v="3"/>
    <x v="5"/>
    <x v="2"/>
    <x v="5"/>
    <x v="7"/>
    <x v="39"/>
  </r>
  <r>
    <x v="45"/>
    <s v="  east"/>
    <s v="Tablet  T8 "/>
    <s v=" Mobile"/>
    <n v="18"/>
    <n v="150000"/>
    <s v="Fola  Balogun"/>
    <s v="  ALPHA RETAILERS"/>
    <x v="1"/>
    <x v="5"/>
    <x v="2"/>
    <x v="2"/>
    <x v="5"/>
    <x v="40"/>
  </r>
  <r>
    <x v="46"/>
    <s v=" WEST "/>
    <s v="Tablet T8 "/>
    <s v="  mobile"/>
    <n v="11"/>
    <n v="150000"/>
    <s v="MARY JOHN"/>
    <s v="  Chika Mart"/>
    <x v="3"/>
    <x v="5"/>
    <x v="2"/>
    <x v="5"/>
    <x v="4"/>
    <x v="41"/>
  </r>
  <r>
    <x v="47"/>
    <s v="South"/>
    <s v="tv  43q"/>
    <s v="ELECTRONICS"/>
    <n v="4"/>
    <n v="350000"/>
    <s v="grace amos"/>
    <s v="Jide Superstores"/>
    <x v="0"/>
    <x v="1"/>
    <x v="1"/>
    <x v="6"/>
    <x v="3"/>
    <x v="29"/>
  </r>
  <r>
    <x v="48"/>
    <s v="South"/>
    <s v="Tablet T8"/>
    <s v=" Mobile"/>
    <n v="19"/>
    <n v="150000"/>
    <s v="Praise Odunayo"/>
    <s v=" Kelvin Tech"/>
    <x v="0"/>
    <x v="5"/>
    <x v="2"/>
    <x v="9"/>
    <x v="7"/>
    <x v="42"/>
  </r>
  <r>
    <x v="49"/>
    <s v=" East "/>
    <s v="Speaker  S10"/>
    <s v="Audio"/>
    <n v="7"/>
    <n v="85000"/>
    <s v="  Aisha Bello "/>
    <s v=" BRIGHT SOLUTIONS"/>
    <x v="1"/>
    <x v="6"/>
    <x v="5"/>
    <x v="3"/>
    <x v="0"/>
    <x v="43"/>
  </r>
  <r>
    <x v="50"/>
    <s v=" WEST "/>
    <s v="Monitor  M24"/>
    <s v=" Peripherals"/>
    <n v="13"/>
    <n v="57912"/>
    <s v=" fola balogun"/>
    <s v="Femi Tech"/>
    <x v="3"/>
    <x v="3"/>
    <x v="3"/>
    <x v="2"/>
    <x v="10"/>
    <x v="44"/>
  </r>
  <r>
    <x v="51"/>
    <s v="east"/>
    <s v=" Monitor M24 "/>
    <s v=" Peripherals"/>
    <n v="18"/>
    <n v="650000"/>
    <s v="grace amos "/>
    <s v="jide superstores"/>
    <x v="1"/>
    <x v="3"/>
    <x v="3"/>
    <x v="6"/>
    <x v="3"/>
    <x v="45"/>
  </r>
  <r>
    <x v="52"/>
    <s v="  West"/>
    <s v="monitor m24"/>
    <s v="peripherals"/>
    <n v="5"/>
    <n v="65000"/>
    <s v="  aisha bello"/>
    <s v="  Kelvin Tech"/>
    <x v="3"/>
    <x v="3"/>
    <x v="3"/>
    <x v="3"/>
    <x v="7"/>
    <x v="46"/>
  </r>
  <r>
    <x v="53"/>
    <s v="South"/>
    <s v="tv  43q"/>
    <s v=" Electronics"/>
    <n v="13"/>
    <n v="350000"/>
    <s v="Chinedu Nwosu"/>
    <s v=" FEMI TECH"/>
    <x v="0"/>
    <x v="1"/>
    <x v="1"/>
    <x v="4"/>
    <x v="10"/>
    <x v="47"/>
  </r>
  <r>
    <x v="54"/>
    <s v=" West"/>
    <s v="TV  43Q "/>
    <s v="ELECTRONICS"/>
    <n v="19"/>
    <n v="350000"/>
    <s v="IFEANYI OKAFOR"/>
    <s v="JIDE SUPERSTORES"/>
    <x v="3"/>
    <x v="1"/>
    <x v="1"/>
    <x v="1"/>
    <x v="3"/>
    <x v="48"/>
  </r>
  <r>
    <x v="55"/>
    <s v="North"/>
    <s v="phone x12 "/>
    <s v=" Mobile"/>
    <n v="9"/>
    <n v="180000"/>
    <s v="aisha  bello"/>
    <s v=" adewale stores"/>
    <x v="2"/>
    <x v="2"/>
    <x v="2"/>
    <x v="3"/>
    <x v="13"/>
    <x v="49"/>
  </r>
  <r>
    <x v="56"/>
    <s v="East  "/>
    <s v="Tablet T8_x0009_"/>
    <s v="Mobile"/>
    <n v="10"/>
    <n v="150000"/>
    <s v="Chinedu  Nwosu"/>
    <s v="maryam ltd"/>
    <x v="1"/>
    <x v="5"/>
    <x v="2"/>
    <x v="4"/>
    <x v="11"/>
    <x v="50"/>
  </r>
  <r>
    <x v="57"/>
    <s v=" EAST_x0009_"/>
    <s v="Speaker  S10"/>
    <s v="Audio"/>
    <n v="10"/>
    <n v="85000"/>
    <s v="aisha  bello"/>
    <s v="Kelvin  Tech"/>
    <x v="1"/>
    <x v="6"/>
    <x v="5"/>
    <x v="3"/>
    <x v="7"/>
    <x v="51"/>
  </r>
  <r>
    <x v="58"/>
    <s v="South"/>
    <s v="LAPTOP A15"/>
    <s v="computers"/>
    <n v="5"/>
    <n v="25000"/>
    <s v=" aisha bello"/>
    <s v="zainab global"/>
    <x v="0"/>
    <x v="0"/>
    <x v="0"/>
    <x v="3"/>
    <x v="2"/>
    <x v="52"/>
  </r>
  <r>
    <x v="59"/>
    <s v="east"/>
    <s v="Tablet T8"/>
    <s v="Mobile"/>
    <n v="1"/>
    <n v="150000"/>
    <s v="GRACE AMOS "/>
    <s v="Musa Enterprises"/>
    <x v="1"/>
    <x v="5"/>
    <x v="2"/>
    <x v="6"/>
    <x v="1"/>
    <x v="12"/>
  </r>
  <r>
    <x v="60"/>
    <s v="  South"/>
    <s v="  TABLET T8 "/>
    <s v=" Mobile"/>
    <n v="20"/>
    <n v="150000"/>
    <s v="  aisha bello"/>
    <s v="Emeka  Traders"/>
    <x v="0"/>
    <x v="5"/>
    <x v="2"/>
    <x v="3"/>
    <x v="8"/>
    <x v="10"/>
  </r>
  <r>
    <x v="61"/>
    <s v="  South"/>
    <s v="TV 43Q"/>
    <s v="ELECTRONICS"/>
    <n v="11"/>
    <n v="350000"/>
    <s v="  CHINEDU NWOSU"/>
    <s v="Tola  Ventures"/>
    <x v="0"/>
    <x v="1"/>
    <x v="1"/>
    <x v="4"/>
    <x v="9"/>
    <x v="53"/>
  </r>
  <r>
    <x v="62"/>
    <s v=" EAST"/>
    <s v="LAPTOP A15"/>
    <s v="computers"/>
    <n v="14"/>
    <n v="250000"/>
    <s v="  chinedu nwosu "/>
    <s v="CHIKA MART"/>
    <x v="1"/>
    <x v="0"/>
    <x v="0"/>
    <x v="4"/>
    <x v="4"/>
    <x v="54"/>
  </r>
  <r>
    <x v="63"/>
    <s v="WEST"/>
    <s v="Tablet T8"/>
    <s v="Mobile"/>
    <n v="3"/>
    <n v="150000"/>
    <s v="Aisha Bello"/>
    <s v="bright solutions"/>
    <x v="3"/>
    <x v="5"/>
    <x v="2"/>
    <x v="3"/>
    <x v="0"/>
    <x v="35"/>
  </r>
  <r>
    <x v="64"/>
    <s v="east"/>
    <s v="SPEAKER S10_x0009_"/>
    <s v="Audio"/>
    <n v="6"/>
    <n v="85000"/>
    <s v="Fola Balogun"/>
    <s v="  emeka traders"/>
    <x v="1"/>
    <x v="6"/>
    <x v="5"/>
    <x v="2"/>
    <x v="8"/>
    <x v="11"/>
  </r>
  <r>
    <x v="65"/>
    <s v="WEST"/>
    <s v="TV 43Q"/>
    <s v="ELECTRONICS"/>
    <n v="15"/>
    <n v="350000"/>
    <s v="  Chinedu Nwosu"/>
    <s v=" Tola Ventures"/>
    <x v="3"/>
    <x v="1"/>
    <x v="1"/>
    <x v="4"/>
    <x v="9"/>
    <x v="25"/>
  </r>
  <r>
    <x v="66"/>
    <s v=" North"/>
    <s v="Tablet T8"/>
    <s v=" Mobile"/>
    <n v="16"/>
    <n v="150000"/>
    <s v="Ifeanyi Okafor "/>
    <s v="CHIKA MART"/>
    <x v="2"/>
    <x v="5"/>
    <x v="2"/>
    <x v="1"/>
    <x v="4"/>
    <x v="55"/>
  </r>
  <r>
    <x v="67"/>
    <s v=" East "/>
    <s v="CAMERA C100"/>
    <s v="PHOTOGRAPHY"/>
    <n v="8"/>
    <n v="175000"/>
    <s v="peter obi "/>
    <s v="BRIGHT SOLUTIONS"/>
    <x v="1"/>
    <x v="4"/>
    <x v="4"/>
    <x v="0"/>
    <x v="0"/>
    <x v="29"/>
  </r>
  <r>
    <x v="68"/>
    <s v="South"/>
    <s v=" Speaker S10"/>
    <s v="Audio"/>
    <n v="2"/>
    <n v="85000"/>
    <s v="  chinedu nwosu"/>
    <s v="Kelvin Tech"/>
    <x v="0"/>
    <x v="6"/>
    <x v="5"/>
    <x v="4"/>
    <x v="7"/>
    <x v="14"/>
  </r>
  <r>
    <x v="69"/>
    <s v="North"/>
    <s v="Laptop A15"/>
    <s v=" Computers"/>
    <n v="13"/>
    <n v="250000"/>
    <s v="  Grace Amos"/>
    <s v="Chika Mart"/>
    <x v="2"/>
    <x v="0"/>
    <x v="0"/>
    <x v="6"/>
    <x v="4"/>
    <x v="56"/>
  </r>
  <r>
    <x v="70"/>
    <s v="WEST"/>
    <s v=" Monitor M24 "/>
    <s v="peripherals"/>
    <n v="11"/>
    <n v="65000"/>
    <s v="Chinedu Nwosu "/>
    <s v=" TOLA VENTURES"/>
    <x v="3"/>
    <x v="3"/>
    <x v="3"/>
    <x v="4"/>
    <x v="9"/>
    <x v="57"/>
  </r>
  <r>
    <x v="71"/>
    <s v=" south"/>
    <s v=" Tv 43Q "/>
    <s v=" Electronics"/>
    <n v="17"/>
    <n v="3500"/>
    <s v="Chinedu  Nwosu "/>
    <s v="Omega  Wholesale"/>
    <x v="0"/>
    <x v="1"/>
    <x v="1"/>
    <x v="4"/>
    <x v="6"/>
    <x v="58"/>
  </r>
  <r>
    <x v="72"/>
    <s v="WEST"/>
    <s v=" monitor m24"/>
    <s v="peripherals"/>
    <n v="18"/>
    <n v="65000"/>
    <s v="Chinedu Nwosu"/>
    <s v="Femi Tech"/>
    <x v="3"/>
    <x v="3"/>
    <x v="3"/>
    <x v="4"/>
    <x v="10"/>
    <x v="3"/>
  </r>
  <r>
    <x v="73"/>
    <s v=" East "/>
    <s v="PHONE  X12"/>
    <s v="Mobile"/>
    <n v="13"/>
    <n v="180000"/>
    <s v=" Grace Amos "/>
    <s v="zainab  global"/>
    <x v="1"/>
    <x v="2"/>
    <x v="2"/>
    <x v="6"/>
    <x v="2"/>
    <x v="59"/>
  </r>
  <r>
    <x v="74"/>
    <s v="South"/>
    <s v="Camera C100"/>
    <s v="PHOTOGRAPHY"/>
    <n v="10"/>
    <n v="175000"/>
    <s v="AISHA BELLO"/>
    <s v=" Jide Superstores"/>
    <x v="0"/>
    <x v="4"/>
    <x v="4"/>
    <x v="3"/>
    <x v="3"/>
    <x v="16"/>
  </r>
  <r>
    <x v="75"/>
    <s v="East  "/>
    <s v="SPEAKER S10 "/>
    <s v="Audio"/>
    <n v="5"/>
    <n v="85000"/>
    <s v="GRACE AMOS"/>
    <s v="Adewale  Stores"/>
    <x v="1"/>
    <x v="6"/>
    <x v="5"/>
    <x v="6"/>
    <x v="13"/>
    <x v="60"/>
  </r>
  <r>
    <x v="76"/>
    <s v=" North"/>
    <s v="tv 43q"/>
    <s v="  Electronics"/>
    <n v="17"/>
    <n v="350000"/>
    <s v=" Mary John "/>
    <s v="  Emeka Traders"/>
    <x v="2"/>
    <x v="1"/>
    <x v="1"/>
    <x v="5"/>
    <x v="8"/>
    <x v="61"/>
  </r>
  <r>
    <x v="77"/>
    <s v="North"/>
    <s v="  tv 43q"/>
    <s v="ELECTRONICS"/>
    <n v="13"/>
    <n v="350000"/>
    <s v="  fola balogun"/>
    <s v="Emeka Traders"/>
    <x v="2"/>
    <x v="1"/>
    <x v="1"/>
    <x v="2"/>
    <x v="8"/>
    <x v="47"/>
  </r>
  <r>
    <x v="78"/>
    <s v="North"/>
    <s v="Tv 43Q  "/>
    <s v=" Electronics"/>
    <n v="8"/>
    <n v="350000"/>
    <s v="ifeanyi  okafor"/>
    <s v="Maryam Ltd"/>
    <x v="2"/>
    <x v="1"/>
    <x v="1"/>
    <x v="1"/>
    <x v="11"/>
    <x v="26"/>
  </r>
  <r>
    <x v="79"/>
    <s v=" SOUTH "/>
    <s v="SPEAKER S10"/>
    <s v="  Audio"/>
    <n v="13"/>
    <n v="85000"/>
    <s v="aisha bello   "/>
    <s v="Maryam Ltd"/>
    <x v="0"/>
    <x v="6"/>
    <x v="5"/>
    <x v="3"/>
    <x v="11"/>
    <x v="24"/>
  </r>
  <r>
    <x v="80"/>
    <s v="  east"/>
    <s v="TABLET  T8"/>
    <s v="Mobile"/>
    <n v="17"/>
    <n v="150000"/>
    <s v=" FOLA BALOGUN  "/>
    <s v=" Musa Enterprises"/>
    <x v="1"/>
    <x v="5"/>
    <x v="2"/>
    <x v="2"/>
    <x v="1"/>
    <x v="62"/>
  </r>
  <r>
    <x v="81"/>
    <s v=" south"/>
    <s v="monitor m24"/>
    <s v=" Peripherals"/>
    <n v="19"/>
    <n v="65000"/>
    <s v="Grace Amos "/>
    <s v="femi tech"/>
    <x v="0"/>
    <x v="3"/>
    <x v="3"/>
    <x v="6"/>
    <x v="10"/>
    <x v="63"/>
  </r>
  <r>
    <x v="82"/>
    <s v="NORTH  "/>
    <s v="Tablet  T8"/>
    <s v="Mobile"/>
    <n v="1"/>
    <n v="150000"/>
    <s v=" Grace Amos "/>
    <s v=" adewale stores"/>
    <x v="2"/>
    <x v="5"/>
    <x v="2"/>
    <x v="6"/>
    <x v="13"/>
    <x v="12"/>
  </r>
  <r>
    <x v="83"/>
    <s v="east"/>
    <s v="laptop a15"/>
    <s v=" Computers"/>
    <n v="13"/>
    <n v="250000"/>
    <s v=" Chinedu Nwosu "/>
    <s v="maryam ltd"/>
    <x v="1"/>
    <x v="0"/>
    <x v="0"/>
    <x v="4"/>
    <x v="11"/>
    <x v="56"/>
  </r>
  <r>
    <x v="84"/>
    <s v="  east"/>
    <s v="MONITOR  M24"/>
    <s v="peripherals"/>
    <n v="18"/>
    <n v="65000"/>
    <s v="  CHINEDU NWOSU"/>
    <s v="TOPE &amp; SONS"/>
    <x v="1"/>
    <x v="3"/>
    <x v="3"/>
    <x v="4"/>
    <x v="12"/>
    <x v="3"/>
  </r>
  <r>
    <x v="85"/>
    <s v=" North "/>
    <s v="laptop a15"/>
    <s v=" Computers"/>
    <n v="20"/>
    <n v="250000"/>
    <s v=" AISHA BELLO "/>
    <s v="OMEGA WHOLESALE"/>
    <x v="2"/>
    <x v="0"/>
    <x v="0"/>
    <x v="3"/>
    <x v="6"/>
    <x v="19"/>
  </r>
  <r>
    <x v="86"/>
    <s v="east"/>
    <s v="phone x12 "/>
    <s v="Mobile"/>
    <n v="4"/>
    <n v="180000"/>
    <s v="Aisha Bello "/>
    <s v="Musa  Enterprises"/>
    <x v="1"/>
    <x v="2"/>
    <x v="2"/>
    <x v="3"/>
    <x v="1"/>
    <x v="64"/>
  </r>
  <r>
    <x v="87"/>
    <s v=" south"/>
    <s v="Tablet  T8"/>
    <s v="Mobile"/>
    <n v="5"/>
    <n v="150000"/>
    <s v="Chinedu  Nwosu "/>
    <s v="Alpha Retailers"/>
    <x v="0"/>
    <x v="5"/>
    <x v="2"/>
    <x v="4"/>
    <x v="5"/>
    <x v="37"/>
  </r>
  <r>
    <x v="88"/>
    <s v="WEST"/>
    <s v="Laptop A15"/>
    <s v=" Computers"/>
    <n v="11"/>
    <n v="2500000"/>
    <s v="fola balogun"/>
    <s v="Omega  Wholesale"/>
    <x v="3"/>
    <x v="0"/>
    <x v="0"/>
    <x v="2"/>
    <x v="6"/>
    <x v="65"/>
  </r>
  <r>
    <x v="89"/>
    <s v="east"/>
    <s v="Laptop A15_x0009_"/>
    <s v="  Computers"/>
    <n v="20"/>
    <n v="250000"/>
    <s v="IFEANYI OKAFOR_x0009_"/>
    <s v="femi  tech"/>
    <x v="1"/>
    <x v="0"/>
    <x v="0"/>
    <x v="1"/>
    <x v="10"/>
    <x v="19"/>
  </r>
  <r>
    <x v="90"/>
    <s v="  West"/>
    <s v="Speaker  S10 "/>
    <s v="Audio"/>
    <n v="7"/>
    <n v="89233"/>
    <s v=" fola balogun"/>
    <s v="FEMI  TECH"/>
    <x v="3"/>
    <x v="6"/>
    <x v="5"/>
    <x v="2"/>
    <x v="10"/>
    <x v="66"/>
  </r>
  <r>
    <x v="91"/>
    <s v="east"/>
    <s v="Laptop A15"/>
    <s v=" Computers"/>
    <n v="5"/>
    <n v="250000"/>
    <s v="Mary  John"/>
    <s v="TOpe &amp; SONS"/>
    <x v="1"/>
    <x v="0"/>
    <x v="0"/>
    <x v="5"/>
    <x v="12"/>
    <x v="67"/>
  </r>
  <r>
    <x v="92"/>
    <s v="East "/>
    <s v="Camera C100"/>
    <s v="PHOTOGRAPHY"/>
    <n v="19"/>
    <n v="175000"/>
    <s v="Mary John"/>
    <s v=" Kelvin Tech"/>
    <x v="1"/>
    <x v="4"/>
    <x v="4"/>
    <x v="5"/>
    <x v="7"/>
    <x v="68"/>
  </r>
  <r>
    <x v="93"/>
    <s v="east"/>
    <s v="TV  43Q "/>
    <s v="ELECTRONICS"/>
    <n v="14"/>
    <n v="350000"/>
    <s v="GRACE AMOS   "/>
    <s v=" MUSA ENTERPRISES"/>
    <x v="1"/>
    <x v="1"/>
    <x v="1"/>
    <x v="6"/>
    <x v="1"/>
    <x v="27"/>
  </r>
  <r>
    <x v="94"/>
    <s v="east"/>
    <s v="Camera C100   "/>
    <s v="  Photography"/>
    <n v="20"/>
    <n v="175000"/>
    <s v=" MARY JOHN"/>
    <s v="Bright Solutions"/>
    <x v="1"/>
    <x v="4"/>
    <x v="4"/>
    <x v="5"/>
    <x v="0"/>
    <x v="54"/>
  </r>
  <r>
    <x v="95"/>
    <s v="  South"/>
    <s v="SPEAKER S10"/>
    <s v="Audio"/>
    <n v="18"/>
    <n v="85000"/>
    <s v="  Peter Obi"/>
    <s v=" TOLA VENTURES"/>
    <x v="0"/>
    <x v="6"/>
    <x v="5"/>
    <x v="0"/>
    <x v="9"/>
    <x v="38"/>
  </r>
  <r>
    <x v="96"/>
    <s v="North_x0009_"/>
    <s v="camera  c100 "/>
    <s v="PHOTOGRAPHY"/>
    <n v="17"/>
    <n v="175000"/>
    <s v=" IFEANYI OKAFOR "/>
    <s v="  emeka traders"/>
    <x v="2"/>
    <x v="4"/>
    <x v="4"/>
    <x v="1"/>
    <x v="8"/>
    <x v="69"/>
  </r>
  <r>
    <x v="97"/>
    <s v="South"/>
    <s v="LAPTOP A15"/>
    <s v=" Computers"/>
    <n v="20"/>
    <n v="250000"/>
    <s v="Fola Balogun"/>
    <s v="Musa Enterprises"/>
    <x v="0"/>
    <x v="0"/>
    <x v="0"/>
    <x v="2"/>
    <x v="1"/>
    <x v="19"/>
  </r>
  <r>
    <x v="98"/>
    <s v="South"/>
    <s v="TV 43Q"/>
    <s v="ELECTRONICS"/>
    <n v="20"/>
    <n v="350000"/>
    <s v=" peter obi "/>
    <s v="femi  tech"/>
    <x v="0"/>
    <x v="1"/>
    <x v="1"/>
    <x v="0"/>
    <x v="10"/>
    <x v="70"/>
  </r>
  <r>
    <x v="99"/>
    <s v=" West"/>
    <s v="TABLET T8 "/>
    <s v=" Mobile"/>
    <n v="18"/>
    <n v="150000"/>
    <s v="grace amos_x0009_"/>
    <s v="ALPHA RETAILERS"/>
    <x v="3"/>
    <x v="5"/>
    <x v="2"/>
    <x v="6"/>
    <x v="5"/>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C3006-6D6A-4640-9882-3C93785A9D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1:E46"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axis="axisRow" showAll="0">
      <items count="6">
        <item x="1"/>
        <item x="2"/>
        <item x="0"/>
        <item x="3"/>
        <item m="1" x="4"/>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AMOUNT_1" fld="13" baseField="0" baseItem="0" numFmtId="166"/>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8" format="30"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E2557F-55AD-4AB9-8493-26BC114F687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49:E57"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axis="axisRow" showAll="0" sortType="ascending">
      <items count="10">
        <item x="4"/>
        <item x="0"/>
        <item m="1" x="8"/>
        <item x="3"/>
        <item x="2"/>
        <item x="6"/>
        <item x="5"/>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v="5"/>
    </i>
    <i>
      <x v="4"/>
    </i>
    <i>
      <x v="3"/>
    </i>
    <i>
      <x/>
    </i>
    <i>
      <x v="6"/>
    </i>
    <i>
      <x v="7"/>
    </i>
    <i>
      <x v="1"/>
    </i>
    <i t="grand">
      <x/>
    </i>
  </rowItems>
  <colItems count="1">
    <i/>
  </colItems>
  <dataFields count="1">
    <dataField name="Sum of AMOUNT_1" fld="13" showDataAs="percentOfTotal" baseField="0" baseItem="0" numFmtId="10"/>
  </dataFields>
  <chartFormats count="4">
    <chartFormat chart="18"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6E1BF3-9432-4CAB-9C48-006EB6BD6AC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A16"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in of AMOUNT_1" fld="13" subtotal="min" baseField="0" baseItem="0" numFmtId="166"/>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438D20-1579-4312-A3F8-F4C6F979F0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A9"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of AMOUNT_1" fld="13" subtotal="max" baseField="0" baseItem="0" numFmtId="166"/>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71A401-CC5E-45AD-B0DE-67A39C6015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19:A20"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items count="6">
        <item m="1" x="4"/>
        <item x="1"/>
        <item x="2"/>
        <item x="0"/>
        <item x="3"/>
        <item t="default"/>
      </items>
    </pivotField>
    <pivotField showAll="0"/>
    <pivotField showAll="0"/>
    <pivotField multipleItemSelectionAllowed="1" showAll="0"/>
    <pivotField showAll="0"/>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multipleItemSelectionAllowed="1"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Units Sold_1" fld="4" baseField="14" baseItem="0" numFmtId="165"/>
  </dataFields>
  <chartFormats count="7">
    <chartFormat chart="43" format="29" series="1">
      <pivotArea type="data" outline="0" fieldPosition="0">
        <references count="1">
          <reference field="4294967294" count="1" selected="0">
            <x v="0"/>
          </reference>
        </references>
      </pivotArea>
    </chartFormat>
    <chartFormat chart="41" format="27" series="1">
      <pivotArea type="data" outline="0" fieldPosition="0">
        <references count="1">
          <reference field="4294967294" count="1" selected="0">
            <x v="0"/>
          </reference>
        </references>
      </pivotArea>
    </chartFormat>
    <chartFormat chart="38" format="32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F794E2-A206-4EFD-96BF-C18D6A2613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1:A12"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MOUNT_1" fld="13" subtotal="average" baseField="0" baseItem="0" numFmtId="166"/>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C8FC0-07EC-49BE-AD85-202F973513A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USTOMERS">
  <location ref="D62:E77"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showAll="0"/>
    <pivotField showAll="0"/>
    <pivotField showAll="0"/>
    <pivotField axis="axisRow" showAll="0">
      <items count="15">
        <item x="13"/>
        <item x="5"/>
        <item x="0"/>
        <item x="4"/>
        <item x="8"/>
        <item x="10"/>
        <item x="3"/>
        <item x="7"/>
        <item x="11"/>
        <item x="1"/>
        <item x="6"/>
        <item x="9"/>
        <item x="12"/>
        <item x="2"/>
        <item t="default"/>
      </items>
    </pivotField>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15">
    <i>
      <x/>
    </i>
    <i>
      <x v="1"/>
    </i>
    <i>
      <x v="2"/>
    </i>
    <i>
      <x v="3"/>
    </i>
    <i>
      <x v="4"/>
    </i>
    <i>
      <x v="5"/>
    </i>
    <i>
      <x v="6"/>
    </i>
    <i>
      <x v="7"/>
    </i>
    <i>
      <x v="8"/>
    </i>
    <i>
      <x v="9"/>
    </i>
    <i>
      <x v="10"/>
    </i>
    <i>
      <x v="11"/>
    </i>
    <i>
      <x v="12"/>
    </i>
    <i>
      <x v="13"/>
    </i>
    <i t="grand">
      <x/>
    </i>
  </rowItems>
  <colItems count="1">
    <i/>
  </colItems>
  <dataFields count="1">
    <dataField name="Sum of AMOUNT_1" fld="13" baseField="0" baseItem="0" numFmtId="166"/>
  </dataFields>
  <chartFormats count="2">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780405-5FEC-416D-955F-5B2DD37775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2:E10"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axis="axisRow" showAll="0" sortType="ascending">
      <items count="10">
        <item x="4"/>
        <item x="0"/>
        <item m="1" x="8"/>
        <item x="3"/>
        <item x="2"/>
        <item x="6"/>
        <item x="5"/>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items count="72">
        <item x="58"/>
        <item x="52"/>
        <item x="7"/>
        <item x="12"/>
        <item x="14"/>
        <item x="32"/>
        <item x="46"/>
        <item x="20"/>
        <item x="60"/>
        <item x="35"/>
        <item x="11"/>
        <item x="17"/>
        <item x="43"/>
        <item x="9"/>
        <item x="66"/>
        <item x="13"/>
        <item x="34"/>
        <item x="15"/>
        <item x="57"/>
        <item x="64"/>
        <item x="37"/>
        <item x="44"/>
        <item x="31"/>
        <item x="51"/>
        <item x="18"/>
        <item x="4"/>
        <item x="23"/>
        <item x="6"/>
        <item x="24"/>
        <item x="3"/>
        <item x="21"/>
        <item x="63"/>
        <item x="67"/>
        <item x="39"/>
        <item x="29"/>
        <item x="36"/>
        <item x="50"/>
        <item x="38"/>
        <item x="49"/>
        <item x="41"/>
        <item x="16"/>
        <item x="28"/>
        <item x="1"/>
        <item x="59"/>
        <item x="55"/>
        <item x="8"/>
        <item x="2"/>
        <item x="62"/>
        <item x="40"/>
        <item x="26"/>
        <item x="42"/>
        <item x="69"/>
        <item x="5"/>
        <item x="10"/>
        <item x="33"/>
        <item x="56"/>
        <item x="68"/>
        <item x="54"/>
        <item x="53"/>
        <item x="47"/>
        <item x="22"/>
        <item x="27"/>
        <item x="19"/>
        <item x="25"/>
        <item x="61"/>
        <item x="48"/>
        <item x="70"/>
        <item x="45"/>
        <item x="0"/>
        <item x="65"/>
        <item x="3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v="5"/>
    </i>
    <i>
      <x v="4"/>
    </i>
    <i>
      <x v="3"/>
    </i>
    <i>
      <x/>
    </i>
    <i>
      <x v="6"/>
    </i>
    <i>
      <x v="7"/>
    </i>
    <i>
      <x v="1"/>
    </i>
    <i t="grand">
      <x/>
    </i>
  </rowItems>
  <colItems count="1">
    <i/>
  </colItems>
  <dataFields count="1">
    <dataField name="Sum of AMOUNT_1" fld="13" showDataAs="percentOfTotal" baseField="0" baseItem="0" numFmtId="10"/>
  </dataFields>
  <chartFormats count="2">
    <chartFormat chart="33" format="4"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A55081-70F0-426E-A474-D794B27A939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E27:F38"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showAll="0"/>
    <pivotField showAll="0"/>
    <pivotField axis="axisRow" showAll="0" sortType="ascending">
      <items count="11">
        <item sd="0" x="8"/>
        <item sd="0" x="3"/>
        <item sd="0" x="4"/>
        <item sd="0" x="2"/>
        <item sd="0" x="6"/>
        <item sd="0" x="1"/>
        <item sd="0" x="7"/>
        <item sd="0" x="5"/>
        <item sd="0" x="0"/>
        <item sd="0" x="9"/>
        <item t="default"/>
      </items>
      <autoSortScope>
        <pivotArea dataOnly="0" outline="0" fieldPosition="0">
          <references count="1">
            <reference field="4294967294" count="1" selected="0">
              <x v="0"/>
            </reference>
          </references>
        </pivotArea>
      </autoSortScope>
    </pivotField>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1">
    <i>
      <x/>
    </i>
    <i>
      <x v="9"/>
    </i>
    <i>
      <x v="6"/>
    </i>
    <i>
      <x v="1"/>
    </i>
    <i>
      <x v="7"/>
    </i>
    <i>
      <x v="5"/>
    </i>
    <i>
      <x v="2"/>
    </i>
    <i>
      <x v="4"/>
    </i>
    <i>
      <x v="3"/>
    </i>
    <i>
      <x v="8"/>
    </i>
    <i t="grand">
      <x/>
    </i>
  </rowItems>
  <colItems count="1">
    <i/>
  </colItems>
  <dataFields count="1">
    <dataField name="Sum of AMOUNT_1" fld="13" baseField="0" baseItem="0" numFmtId="166"/>
  </dataFields>
  <chartFormats count="4">
    <chartFormat chart="30"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8D5C5D-87C9-45F5-B5AD-DD4E7996FE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4:E22"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pivotField axis="axisRow" showAll="0" sortType="ascending">
      <items count="10">
        <item x="4"/>
        <item x="0"/>
        <item m="1" x="8"/>
        <item x="3"/>
        <item x="2"/>
        <item x="6"/>
        <item x="5"/>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v="4"/>
    </i>
    <i>
      <x v="5"/>
    </i>
    <i>
      <x/>
    </i>
    <i>
      <x v="3"/>
    </i>
    <i>
      <x v="1"/>
    </i>
    <i>
      <x v="7"/>
    </i>
    <i>
      <x v="6"/>
    </i>
    <i t="grand">
      <x/>
    </i>
  </rowItems>
  <colItems count="1">
    <i/>
  </colItems>
  <dataFields count="1">
    <dataField name="Sum of Units Sold_1" fld="4" baseField="0" baseItem="0" numFmtId="165"/>
  </dataFields>
  <chartFormats count="3">
    <chartFormat chart="23"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E123FD-10AF-4FD0-B4C1-109F16A885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A6"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in of AMOUNT_1" fld="13" subtotal="min" baseField="0" baseItem="0" numFmtId="166"/>
  </dataField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4CAA38-26F4-4453-A05A-F3F74AB59A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14:H22"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axis="axisRow" showAll="0" sortType="ascending">
      <items count="10">
        <item x="4"/>
        <item x="0"/>
        <item m="1" x="8"/>
        <item x="3"/>
        <item x="2"/>
        <item x="6"/>
        <item x="5"/>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v="4"/>
    </i>
    <i>
      <x v="5"/>
    </i>
    <i>
      <x/>
    </i>
    <i>
      <x v="3"/>
    </i>
    <i>
      <x v="1"/>
    </i>
    <i>
      <x v="7"/>
    </i>
    <i>
      <x v="6"/>
    </i>
    <i t="grand">
      <x/>
    </i>
  </rowItems>
  <colItems count="1">
    <i/>
  </colItems>
  <dataFields count="1">
    <dataField name="Count of AMOUNT_1" fld="13" subtotal="count" baseField="9" baseItem="8"/>
  </dataFields>
  <chartFormats count="4">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4D558A-5FA1-4197-9E18-C39D7DCF4CE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J2:K9"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pivotField showAll="0"/>
    <pivotField axis="axisRow" showAll="0">
      <items count="7">
        <item x="5"/>
        <item x="0"/>
        <item x="1"/>
        <item x="2"/>
        <item x="3"/>
        <item x="4"/>
        <item t="default"/>
      </items>
    </pivotField>
    <pivotField multipleItemSelectionAllowed="1" showAll="0"/>
    <pivotField showAll="0"/>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multipleItemSelectionAllowed="1"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7">
    <i>
      <x/>
    </i>
    <i>
      <x v="1"/>
    </i>
    <i>
      <x v="2"/>
    </i>
    <i>
      <x v="3"/>
    </i>
    <i>
      <x v="4"/>
    </i>
    <i>
      <x v="5"/>
    </i>
    <i t="grand">
      <x/>
    </i>
  </rowItems>
  <colItems count="1">
    <i/>
  </colItems>
  <dataFields count="1">
    <dataField name="Sum of Units Sold_1" fld="4" showDataAs="percentOfTotal" baseField="14" baseItem="0" numFmtId="10"/>
  </dataFields>
  <chartFormats count="22">
    <chartFormat chart="41" format="27" series="1">
      <pivotArea type="data" outline="0" fieldPosition="0">
        <references count="1">
          <reference field="4294967294" count="1" selected="0">
            <x v="0"/>
          </reference>
        </references>
      </pivotArea>
    </chartFormat>
    <chartFormat chart="38" format="32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8" format="9">
      <pivotArea type="data" outline="0" fieldPosition="0">
        <references count="1">
          <reference field="4294967294" count="1" selected="0">
            <x v="0"/>
          </reference>
        </references>
      </pivotArea>
    </chartFormat>
    <chartFormat chart="53" format="12" series="1">
      <pivotArea type="data" outline="0" fieldPosition="0">
        <references count="1">
          <reference field="4294967294" count="1" selected="0">
            <x v="0"/>
          </reference>
        </references>
      </pivotArea>
    </chartFormat>
    <chartFormat chart="53" format="13">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55" format="13">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2" format="16" series="1">
      <pivotArea type="data" outline="0" fieldPosition="0">
        <references count="1">
          <reference field="4294967294" count="1" selected="0">
            <x v="0"/>
          </reference>
        </references>
      </pivotArea>
    </chartFormat>
    <chartFormat chart="72" format="17">
      <pivotArea type="data" outline="0" fieldPosition="0">
        <references count="2">
          <reference field="4294967294" count="1" selected="0">
            <x v="0"/>
          </reference>
          <reference field="10" count="1" selected="0">
            <x v="0"/>
          </reference>
        </references>
      </pivotArea>
    </chartFormat>
    <chartFormat chart="72" format="18">
      <pivotArea type="data" outline="0" fieldPosition="0">
        <references count="2">
          <reference field="4294967294" count="1" selected="0">
            <x v="0"/>
          </reference>
          <reference field="10" count="1" selected="0">
            <x v="1"/>
          </reference>
        </references>
      </pivotArea>
    </chartFormat>
    <chartFormat chart="72" format="19">
      <pivotArea type="data" outline="0" fieldPosition="0">
        <references count="2">
          <reference field="4294967294" count="1" selected="0">
            <x v="0"/>
          </reference>
          <reference field="10" count="1" selected="0">
            <x v="2"/>
          </reference>
        </references>
      </pivotArea>
    </chartFormat>
    <chartFormat chart="72" format="20">
      <pivotArea type="data" outline="0" fieldPosition="0">
        <references count="2">
          <reference field="4294967294" count="1" selected="0">
            <x v="0"/>
          </reference>
          <reference field="10" count="1" selected="0">
            <x v="3"/>
          </reference>
        </references>
      </pivotArea>
    </chartFormat>
    <chartFormat chart="72" format="21">
      <pivotArea type="data" outline="0" fieldPosition="0">
        <references count="2">
          <reference field="4294967294" count="1" selected="0">
            <x v="0"/>
          </reference>
          <reference field="10" count="1" selected="0">
            <x v="4"/>
          </reference>
        </references>
      </pivotArea>
    </chartFormat>
    <chartFormat chart="72" format="22">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C1B3AA-BE26-4423-AD5D-EF246DB322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7:C38" firstHeaderRow="0"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items count="6">
        <item m="1" x="4"/>
        <item x="1"/>
        <item x="2"/>
        <item x="0"/>
        <item x="3"/>
        <item t="default"/>
      </items>
    </pivotField>
    <pivotField showAll="0"/>
    <pivotField showAll="0"/>
    <pivotField axis="axisRow" showAll="0">
      <items count="11">
        <item x="8"/>
        <item x="3"/>
        <item x="4"/>
        <item x="2"/>
        <item x="6"/>
        <item x="1"/>
        <item x="7"/>
        <item x="5"/>
        <item x="0"/>
        <item x="9"/>
        <item t="default"/>
      </items>
    </pivotField>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1">
    <i>
      <x/>
    </i>
    <i>
      <x v="1"/>
    </i>
    <i>
      <x v="2"/>
    </i>
    <i>
      <x v="3"/>
    </i>
    <i>
      <x v="4"/>
    </i>
    <i>
      <x v="5"/>
    </i>
    <i>
      <x v="6"/>
    </i>
    <i>
      <x v="7"/>
    </i>
    <i>
      <x v="8"/>
    </i>
    <i>
      <x v="9"/>
    </i>
    <i t="grand">
      <x/>
    </i>
  </rowItems>
  <colFields count="1">
    <field x="-2"/>
  </colFields>
  <colItems count="2">
    <i>
      <x/>
    </i>
    <i i="1">
      <x v="1"/>
    </i>
  </colItems>
  <dataFields count="2">
    <dataField name="Sum of Units Sold_1" fld="4" baseField="0" baseItem="0" numFmtId="165"/>
    <dataField name="Sum of AMOUNT_1" fld="1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7A12D9-55A0-4EA2-9770-CC084EC1FB7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I27:N39" firstHeaderRow="1" firstDataRow="2"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axis="axisCol" showAll="0">
      <items count="6">
        <item x="1"/>
        <item x="2"/>
        <item x="0"/>
        <item x="3"/>
        <item m="1" x="4"/>
        <item t="default"/>
      </items>
    </pivotField>
    <pivotField showAll="0"/>
    <pivotField showAll="0"/>
    <pivotField axis="axisRow" showAll="0">
      <items count="11">
        <item sd="0" x="8"/>
        <item sd="0" x="3"/>
        <item sd="0" x="4"/>
        <item sd="0" x="2"/>
        <item sd="0" x="6"/>
        <item sd="0" x="1"/>
        <item sd="0" x="7"/>
        <item sd="0" x="5"/>
        <item sd="0" x="0"/>
        <item sd="0" x="9"/>
        <item t="default"/>
      </items>
    </pivotField>
    <pivotField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1">
    <i>
      <x/>
    </i>
    <i>
      <x v="1"/>
    </i>
    <i>
      <x v="2"/>
    </i>
    <i>
      <x v="3"/>
    </i>
    <i>
      <x v="4"/>
    </i>
    <i>
      <x v="5"/>
    </i>
    <i>
      <x v="6"/>
    </i>
    <i>
      <x v="7"/>
    </i>
    <i>
      <x v="8"/>
    </i>
    <i>
      <x v="9"/>
    </i>
    <i t="grand">
      <x/>
    </i>
  </rowItems>
  <colFields count="1">
    <field x="8"/>
  </colFields>
  <colItems count="5">
    <i>
      <x/>
    </i>
    <i>
      <x v="1"/>
    </i>
    <i>
      <x v="2"/>
    </i>
    <i>
      <x v="3"/>
    </i>
    <i t="grand">
      <x/>
    </i>
  </colItems>
  <dataFields count="1">
    <dataField name="Sum of Units Sold_1" fld="4" baseField="0" baseItem="0" numFmtId="165"/>
  </dataFields>
  <chartFormats count="24">
    <chartFormat chart="43" format="74" series="1">
      <pivotArea type="data" outline="0" fieldPosition="0">
        <references count="2">
          <reference field="4294967294" count="1" selected="0">
            <x v="0"/>
          </reference>
          <reference field="8" count="1" selected="0">
            <x v="2"/>
          </reference>
        </references>
      </pivotArea>
    </chartFormat>
    <chartFormat chart="43" format="75" series="1">
      <pivotArea type="data" outline="0" fieldPosition="0">
        <references count="2">
          <reference field="4294967294" count="1" selected="0">
            <x v="0"/>
          </reference>
          <reference field="8" count="1" selected="0">
            <x v="3"/>
          </reference>
        </references>
      </pivotArea>
    </chartFormat>
    <chartFormat chart="43" format="76" series="1">
      <pivotArea type="data" outline="0" fieldPosition="0">
        <references count="2">
          <reference field="4294967294" count="1" selected="0">
            <x v="0"/>
          </reference>
          <reference field="8" count="1" selected="0">
            <x v="0"/>
          </reference>
        </references>
      </pivotArea>
    </chartFormat>
    <chartFormat chart="43" format="77" series="1">
      <pivotArea type="data" outline="0" fieldPosition="0">
        <references count="2">
          <reference field="4294967294" count="1" selected="0">
            <x v="0"/>
          </reference>
          <reference field="8" count="1" selected="0">
            <x v="1"/>
          </reference>
        </references>
      </pivotArea>
    </chartFormat>
    <chartFormat chart="50" format="82" series="1">
      <pivotArea type="data" outline="0" fieldPosition="0">
        <references count="2">
          <reference field="4294967294" count="1" selected="0">
            <x v="0"/>
          </reference>
          <reference field="8" count="1" selected="0">
            <x v="0"/>
          </reference>
        </references>
      </pivotArea>
    </chartFormat>
    <chartFormat chart="50" format="83" series="1">
      <pivotArea type="data" outline="0" fieldPosition="0">
        <references count="2">
          <reference field="4294967294" count="1" selected="0">
            <x v="0"/>
          </reference>
          <reference field="8" count="1" selected="0">
            <x v="1"/>
          </reference>
        </references>
      </pivotArea>
    </chartFormat>
    <chartFormat chart="50" format="84" series="1">
      <pivotArea type="data" outline="0" fieldPosition="0">
        <references count="2">
          <reference field="4294967294" count="1" selected="0">
            <x v="0"/>
          </reference>
          <reference field="8" count="1" selected="0">
            <x v="2"/>
          </reference>
        </references>
      </pivotArea>
    </chartFormat>
    <chartFormat chart="50" format="85" series="1">
      <pivotArea type="data" outline="0" fieldPosition="0">
        <references count="2">
          <reference field="4294967294" count="1" selected="0">
            <x v="0"/>
          </reference>
          <reference field="8" count="1" selected="0">
            <x v="3"/>
          </reference>
        </references>
      </pivotArea>
    </chartFormat>
    <chartFormat chart="52" format="82" series="1">
      <pivotArea type="data" outline="0" fieldPosition="0">
        <references count="2">
          <reference field="4294967294" count="1" selected="0">
            <x v="0"/>
          </reference>
          <reference field="8" count="1" selected="0">
            <x v="0"/>
          </reference>
        </references>
      </pivotArea>
    </chartFormat>
    <chartFormat chart="52" format="83" series="1">
      <pivotArea type="data" outline="0" fieldPosition="0">
        <references count="2">
          <reference field="4294967294" count="1" selected="0">
            <x v="0"/>
          </reference>
          <reference field="8" count="1" selected="0">
            <x v="1"/>
          </reference>
        </references>
      </pivotArea>
    </chartFormat>
    <chartFormat chart="52" format="84" series="1">
      <pivotArea type="data" outline="0" fieldPosition="0">
        <references count="2">
          <reference field="4294967294" count="1" selected="0">
            <x v="0"/>
          </reference>
          <reference field="8" count="1" selected="0">
            <x v="2"/>
          </reference>
        </references>
      </pivotArea>
    </chartFormat>
    <chartFormat chart="52" format="85" series="1">
      <pivotArea type="data" outline="0" fieldPosition="0">
        <references count="2">
          <reference field="4294967294" count="1" selected="0">
            <x v="0"/>
          </reference>
          <reference field="8" count="1" selected="0">
            <x v="3"/>
          </reference>
        </references>
      </pivotArea>
    </chartFormat>
    <chartFormat chart="55" format="90" series="1">
      <pivotArea type="data" outline="0" fieldPosition="0">
        <references count="2">
          <reference field="4294967294" count="1" selected="0">
            <x v="0"/>
          </reference>
          <reference field="8" count="1" selected="0">
            <x v="0"/>
          </reference>
        </references>
      </pivotArea>
    </chartFormat>
    <chartFormat chart="55" format="91" series="1">
      <pivotArea type="data" outline="0" fieldPosition="0">
        <references count="2">
          <reference field="4294967294" count="1" selected="0">
            <x v="0"/>
          </reference>
          <reference field="8" count="1" selected="0">
            <x v="1"/>
          </reference>
        </references>
      </pivotArea>
    </chartFormat>
    <chartFormat chart="55" format="92" series="1">
      <pivotArea type="data" outline="0" fieldPosition="0">
        <references count="2">
          <reference field="4294967294" count="1" selected="0">
            <x v="0"/>
          </reference>
          <reference field="8" count="1" selected="0">
            <x v="2"/>
          </reference>
        </references>
      </pivotArea>
    </chartFormat>
    <chartFormat chart="55" format="93" series="1">
      <pivotArea type="data" outline="0" fieldPosition="0">
        <references count="2">
          <reference field="4294967294" count="1" selected="0">
            <x v="0"/>
          </reference>
          <reference field="8" count="1" selected="0">
            <x v="3"/>
          </reference>
        </references>
      </pivotArea>
    </chartFormat>
    <chartFormat chart="56" format="90" series="1">
      <pivotArea type="data" outline="0" fieldPosition="0">
        <references count="2">
          <reference field="4294967294" count="1" selected="0">
            <x v="0"/>
          </reference>
          <reference field="8" count="1" selected="0">
            <x v="0"/>
          </reference>
        </references>
      </pivotArea>
    </chartFormat>
    <chartFormat chart="56" format="91" series="1">
      <pivotArea type="data" outline="0" fieldPosition="0">
        <references count="2">
          <reference field="4294967294" count="1" selected="0">
            <x v="0"/>
          </reference>
          <reference field="8" count="1" selected="0">
            <x v="1"/>
          </reference>
        </references>
      </pivotArea>
    </chartFormat>
    <chartFormat chart="56" format="92" series="1">
      <pivotArea type="data" outline="0" fieldPosition="0">
        <references count="2">
          <reference field="4294967294" count="1" selected="0">
            <x v="0"/>
          </reference>
          <reference field="8" count="1" selected="0">
            <x v="2"/>
          </reference>
        </references>
      </pivotArea>
    </chartFormat>
    <chartFormat chart="56" format="93" series="1">
      <pivotArea type="data" outline="0" fieldPosition="0">
        <references count="2">
          <reference field="4294967294" count="1" selected="0">
            <x v="0"/>
          </reference>
          <reference field="8" count="1" selected="0">
            <x v="3"/>
          </reference>
        </references>
      </pivotArea>
    </chartFormat>
    <chartFormat chart="43" format="78" series="1">
      <pivotArea type="data" outline="0" fieldPosition="0">
        <references count="2">
          <reference field="4294967294" count="1" selected="0">
            <x v="0"/>
          </reference>
          <reference field="8" count="1" selected="0">
            <x v="4"/>
          </reference>
        </references>
      </pivotArea>
    </chartFormat>
    <chartFormat chart="55" format="94" series="1">
      <pivotArea type="data" outline="0" fieldPosition="0">
        <references count="2">
          <reference field="4294967294" count="1" selected="0">
            <x v="0"/>
          </reference>
          <reference field="8" count="1" selected="0">
            <x v="4"/>
          </reference>
        </references>
      </pivotArea>
    </chartFormat>
    <chartFormat chart="50" format="86" series="1">
      <pivotArea type="data" outline="0" fieldPosition="0">
        <references count="2">
          <reference field="4294967294" count="1" selected="0">
            <x v="0"/>
          </reference>
          <reference field="8" count="1" selected="0">
            <x v="4"/>
          </reference>
        </references>
      </pivotArea>
    </chartFormat>
    <chartFormat chart="56" format="9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EAA6861-4BD0-43A6-AB7B-4EB41A39BA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A3"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AMOUNT_1" fld="13" baseField="0" baseItem="0" numFmtId="166"/>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26EC4FE-31FE-4428-ADC9-6D6ED4068E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2:H10"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items count="6">
        <item m="1" x="4"/>
        <item x="1"/>
        <item x="2"/>
        <item x="0"/>
        <item x="3"/>
        <item t="default"/>
      </items>
    </pivotField>
    <pivotField axis="axisRow" showAll="0">
      <items count="10">
        <item x="4"/>
        <item x="0"/>
        <item m="1" x="8"/>
        <item x="3"/>
        <item x="2"/>
        <item x="6"/>
        <item x="5"/>
        <item x="1"/>
        <item m="1" x="7"/>
        <item t="default"/>
      </items>
    </pivotField>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i>
    <i>
      <x v="1"/>
    </i>
    <i>
      <x v="3"/>
    </i>
    <i>
      <x v="4"/>
    </i>
    <i>
      <x v="5"/>
    </i>
    <i>
      <x v="6"/>
    </i>
    <i>
      <x v="7"/>
    </i>
    <i t="grand">
      <x/>
    </i>
  </rowItems>
  <colItems count="1">
    <i/>
  </colItems>
  <dataFields count="1">
    <dataField name="Max of AMOUNT_1" fld="13" subtotal="max"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F9901B5-CDE4-4284-AC3A-1EFEB751FA2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CUSTOMERS">
  <location ref="H71:I75"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showAll="0"/>
    <pivotField showAll="0"/>
    <pivotField showAll="0"/>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2"/>
    </i>
    <i>
      <x v="7"/>
    </i>
    <i t="grand">
      <x/>
    </i>
  </rowItems>
  <colItems count="1">
    <i/>
  </colItems>
  <dataFields count="1">
    <dataField name="Sum of AMOUNT_1" fld="13" baseField="0" baseItem="0" numFmtId="166"/>
  </dataFields>
  <chartFormats count="5">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4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C988757-C688-44D8-BCBF-6D00A34D6AB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CUSTOMERS">
  <location ref="H62:I66"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showAll="0"/>
    <pivotField showAll="0"/>
    <pivotField showAll="0"/>
    <pivotField axis="axisRow" showAll="0" measureFilter="1"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v="10"/>
    </i>
    <i>
      <x v="2"/>
    </i>
    <i>
      <x v="5"/>
    </i>
    <i t="grand">
      <x/>
    </i>
  </rowItems>
  <colItems count="1">
    <i/>
  </colItems>
  <dataFields count="1">
    <dataField name="Sum of AMOUNT_1" fld="13" baseField="0" baseItem="0" numFmtId="166"/>
  </dataFields>
  <chartFormats count="5">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5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5AD11B-77C0-4DB8-AADA-148DD3B8C07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peaker S10">
  <location ref="D6:E14"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showAll="0"/>
    <pivotField axis="axisRow" showAll="0" sortType="ascending">
      <items count="10">
        <item x="4"/>
        <item x="0"/>
        <item m="1" x="8"/>
        <item x="3"/>
        <item x="2"/>
        <item x="6"/>
        <item x="5"/>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v="5"/>
    </i>
    <i>
      <x v="4"/>
    </i>
    <i>
      <x v="3"/>
    </i>
    <i>
      <x/>
    </i>
    <i>
      <x v="6"/>
    </i>
    <i>
      <x v="7"/>
    </i>
    <i>
      <x v="1"/>
    </i>
    <i t="grand">
      <x/>
    </i>
  </rowItems>
  <colItems count="1">
    <i/>
  </colItems>
  <dataFields count="1">
    <dataField name="Sum of AMOUNT_1" fld="13" showDataAs="percentOfTotal" baseField="0" baseItem="0" numFmtId="10"/>
  </dataFields>
  <chartFormats count="4">
    <chartFormat chart="18"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1B580B-84C4-42CE-A71E-FE8EA6EEC2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numFmtId="165" showAll="0"/>
    <pivotField numFmtId="166" showAll="0"/>
    <pivotField showAll="0"/>
    <pivotField showAll="0"/>
    <pivotField axis="axisRow" showAll="0">
      <items count="6">
        <item x="1"/>
        <item x="2"/>
        <item x="0"/>
        <item x="3"/>
        <item m="1" x="4"/>
        <item t="default"/>
      </items>
    </pivotField>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AMOUNT_1" fld="13" baseField="0" baseItem="0" numFmtId="166"/>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B862CE4-C47A-46FC-AFCE-81750CE3F97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0:A11" firstHeaderRow="1"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items count="6">
        <item m="1" x="4"/>
        <item x="1"/>
        <item x="2"/>
        <item x="0"/>
        <item x="3"/>
        <item t="default"/>
      </items>
    </pivotField>
    <pivotField showAll="0"/>
    <pivotField showAll="0"/>
    <pivotField multipleItemSelectionAllowed="1" showAll="0"/>
    <pivotField showAll="0"/>
    <pivotField numFmtId="166"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multipleItemSelectionAllowed="1"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Units Sold_1" fld="4" baseField="0" baseItem="0" numFmtId="165"/>
  </dataFields>
  <chartFormats count="4">
    <chartFormat chart="53" format="15" series="1">
      <pivotArea type="data" outline="0" fieldPosition="0">
        <references count="1">
          <reference field="4294967294" count="1" selected="0">
            <x v="0"/>
          </reference>
        </references>
      </pivotArea>
    </chartFormat>
    <chartFormat chart="48" format="29" series="1">
      <pivotArea type="data" outline="0" fieldPosition="0">
        <references count="1">
          <reference field="4294967294" count="1" selected="0">
            <x v="0"/>
          </reference>
        </references>
      </pivotArea>
    </chartFormat>
    <chartFormat chart="53" format="16">
      <pivotArea type="data" outline="0" fieldPosition="0">
        <references count="1">
          <reference field="4294967294" count="1" selected="0">
            <x v="0"/>
          </reference>
        </references>
      </pivotArea>
    </chartFormat>
    <chartFormat chart="57"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B04D73E-62C6-4944-A7C8-F6ADD4F7EA8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D3:E4" firstHeaderRow="0" firstDataRow="1" firstDataCol="0"/>
  <pivotFields count="16">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numFmtId="165" showAll="0"/>
    <pivotField numFmtId="166" showAll="0"/>
    <pivotField showAll="0"/>
    <pivotField showAll="0"/>
    <pivotField showAll="0"/>
    <pivotField showAll="0"/>
    <pivotField showAll="0"/>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Units Sold_1" fld="4" baseField="0" baseItem="0" numFmtId="165"/>
    <dataField name="Sum of AMOUNT_1" fld="13" baseField="0" baseItem="0" numFmtId="166"/>
  </dataFields>
  <chartFormats count="6">
    <chartFormat chart="29"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_1" xr10:uid="{9BC73B34-C8F2-4479-B1CB-24DA5A7DF18B}" sourceName="SALES REP_1">
  <pivotTables>
    <pivotTable tabId="16" name="PivotTable10"/>
  </pivotTables>
  <data>
    <tabular pivotCacheId="1650509607">
      <items count="10">
        <i x="8" s="1"/>
        <i x="3" s="1"/>
        <i x="4" s="1"/>
        <i x="2" s="1"/>
        <i x="6" s="1"/>
        <i x="1" s="1"/>
        <i x="7" s="1"/>
        <i x="5" s="1"/>
        <i x="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1" xr10:uid="{99C2ABF6-EFFA-44D3-9A3C-C5781D989CED}" sourceName="Date_1">
  <pivotTables>
    <pivotTable tabId="16" name="PivotTable13"/>
  </pivotTables>
  <data>
    <tabular pivotCacheId="1650509607">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11" xr10:uid="{64A01BA2-B210-4F20-A210-65C0C3306514}" sourceName="REGION_1">
  <pivotTables>
    <pivotTable tabId="16" name="PivotTable14"/>
    <pivotTable tabId="16" name="PivotTable10"/>
    <pivotTable tabId="16" name="PivotTable11"/>
    <pivotTable tabId="16" name="PivotTable12"/>
    <pivotTable tabId="16" name="PivotTable15"/>
    <pivotTable tabId="16" name="PivotTable2"/>
    <pivotTable tabId="16" name="PivotTable4"/>
    <pivotTable tabId="16" name="PivotTable5"/>
    <pivotTable tabId="16" name="PivotTable6"/>
    <pivotTable tabId="16" name="PivotTable8"/>
    <pivotTable tabId="18" name="PivotTable14"/>
  </pivotTables>
  <data>
    <tabular pivotCacheId="1650509607">
      <items count="5">
        <i x="1" s="1"/>
        <i x="2" s="1"/>
        <i x="0"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1" xr10:uid="{EC4D205A-6534-48A5-A6A8-74A9C9306174}" sourceName="CATEGORY_1">
  <pivotTables>
    <pivotTable tabId="16" name="PivotTable13"/>
  </pivotTables>
  <data>
    <tabular pivotCacheId="1650509607">
      <items count="6">
        <i x="5"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_1" xr10:uid="{D81A8455-993D-4DEE-A782-EA55BF49E58B}" sourceName="AMOUNT_1">
  <pivotTables>
    <pivotTable tabId="16" name="PivotTable6"/>
  </pivotTables>
  <data>
    <tabular pivotCacheId="1650509607">
      <items count="71">
        <i x="58" s="1"/>
        <i x="52" s="1"/>
        <i x="7" s="1"/>
        <i x="12" s="1"/>
        <i x="14" s="1"/>
        <i x="32" s="1"/>
        <i x="46" s="1"/>
        <i x="20" s="1"/>
        <i x="60" s="1"/>
        <i x="35" s="1"/>
        <i x="11" s="1"/>
        <i x="17" s="1"/>
        <i x="43" s="1"/>
        <i x="9" s="1"/>
        <i x="66" s="1"/>
        <i x="13" s="1"/>
        <i x="34" s="1"/>
        <i x="15" s="1"/>
        <i x="57" s="1"/>
        <i x="64" s="1"/>
        <i x="37" s="1"/>
        <i x="44" s="1"/>
        <i x="31" s="1"/>
        <i x="51" s="1"/>
        <i x="18" s="1"/>
        <i x="4" s="1"/>
        <i x="23" s="1"/>
        <i x="6" s="1"/>
        <i x="24" s="1"/>
        <i x="3" s="1"/>
        <i x="21" s="1"/>
        <i x="63" s="1"/>
        <i x="67" s="1"/>
        <i x="39" s="1"/>
        <i x="29" s="1"/>
        <i x="36" s="1"/>
        <i x="50" s="1"/>
        <i x="38" s="1"/>
        <i x="49" s="1"/>
        <i x="41" s="1"/>
        <i x="16" s="1"/>
        <i x="28" s="1"/>
        <i x="1" s="1"/>
        <i x="59" s="1"/>
        <i x="55" s="1"/>
        <i x="8" s="1"/>
        <i x="2" s="1"/>
        <i x="62" s="1"/>
        <i x="40" s="1"/>
        <i x="26" s="1"/>
        <i x="42" s="1"/>
        <i x="69" s="1"/>
        <i x="5" s="1"/>
        <i x="10" s="1"/>
        <i x="33" s="1"/>
        <i x="56" s="1"/>
        <i x="68" s="1"/>
        <i x="54" s="1"/>
        <i x="53" s="1"/>
        <i x="47" s="1"/>
        <i x="22" s="1"/>
        <i x="27" s="1"/>
        <i x="19" s="1"/>
        <i x="25" s="1"/>
        <i x="61" s="1"/>
        <i x="48" s="1"/>
        <i x="70" s="1"/>
        <i x="45" s="1"/>
        <i x="0" s="1"/>
        <i x="65"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_11" xr10:uid="{7C67364F-92BC-4E2D-9047-0219AC0D43CB}" sourceName="SALES REP_1">
  <pivotTables>
    <pivotTable tabId="16" name="PivotTable15"/>
  </pivotTables>
  <data>
    <tabular pivotCacheId="1650509607">
      <items count="10">
        <i x="8" s="1"/>
        <i x="3" s="1"/>
        <i x="4" s="1"/>
        <i x="2" s="1"/>
        <i x="6" s="1"/>
        <i x="1" s="1"/>
        <i x="7" s="1"/>
        <i x="5"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_1 1" xr10:uid="{50E5AE01-44BA-435E-B0AA-DCB7B65AFC1B}" cache="Slicer_SALES_REP_1" caption="SALES REP_1" startItem="6" showCaption="0" rowHeight="241300"/>
  <slicer name="Date_1" xr10:uid="{762009FE-8DDF-42A7-B738-49CACD891196}" cache="Slicer_Date_1" caption="Date_1" showCaption="0" rowHeight="241300"/>
  <slicer name="REGION_1 1" xr10:uid="{1127DE9D-9FC4-4F0E-BE7C-0B4D23ABA6B2}" cache="Slicer_REGION_11" caption="REGION_1" showCaption="0" rowHeight="241300"/>
  <slicer name="CATEGORY_1" xr10:uid="{DCF609AF-58D3-40F1-A1F7-7545BAEBAC97}" cache="Slicer_CATEGORY_1" caption="CATEGORY_1" startItem="5" showCaption="0" rowHeight="241300"/>
  <slicer name="AMOUNT_1" xr10:uid="{57FC6BBD-88AA-4B5B-AFE8-E97961795E8F}" cache="Slicer_AMOUNT_1" caption="AMOUNT_1" showCaption="0" rowHeight="241300"/>
  <slicer name="SALES REP_1 2" xr10:uid="{49172A30-C7D3-4976-BD2E-DF7932A973F5}" cache="Slicer_SALES_REP_11" caption="SALES REP_1" startItem="9"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EB0D0C-FFED-4085-B2C8-48269E12F518}" name="Table1" displayName="Table1" ref="A1:N101" totalsRowShown="0" headerRowDxfId="11" tableBorderDxfId="10">
  <autoFilter ref="A1:N101" xr:uid="{63EB0D0C-FFED-4085-B2C8-48269E12F518}"/>
  <tableColumns count="14">
    <tableColumn id="1" xr3:uid="{F4BFA36A-B689-4A67-88CF-ADB6F1F486A4}" name="Date_1" dataDxfId="9"/>
    <tableColumn id="2" xr3:uid="{211CB02B-1CEE-4B7E-93DC-283BFBCABD5E}" name="Region" dataDxfId="8"/>
    <tableColumn id="3" xr3:uid="{2CAF9F82-F750-4D91-8482-785A282391F9}" name="Product" dataDxfId="7"/>
    <tableColumn id="4" xr3:uid="{B31D8629-A01A-4504-A08C-4FC7A684F2C7}" name="Category" dataDxfId="6"/>
    <tableColumn id="5" xr3:uid="{84DDC773-C3AA-4563-B578-A5C6D332663E}" name="Units Sold_1" dataDxfId="5"/>
    <tableColumn id="6" xr3:uid="{9A50F7F0-3260-4A3A-B91D-41E0E38A7204}" name="Unit Price_1" dataDxfId="4"/>
    <tableColumn id="7" xr3:uid="{C3BD0B7C-5E3D-46A6-9AA7-2E4D6F534B13}" name="Sales Rep" dataDxfId="3"/>
    <tableColumn id="8" xr3:uid="{53D73B7E-3282-4363-91EC-4998AB76CD29}" name="Customer" dataDxfId="2"/>
    <tableColumn id="9" xr3:uid="{ECD72026-C732-4DD7-91DE-5475FF2B5D92}" name="REGION_1">
      <calculatedColumnFormula>CLEAN(TRIM(PROPER(B2)))</calculatedColumnFormula>
    </tableColumn>
    <tableColumn id="10" xr3:uid="{6B2AE56D-6D87-4FE9-8EC1-EECE0BE0A45C}" name="PRODUCT_1">
      <calculatedColumnFormula>PROPER(CLEAN(TRIM(C2)))</calculatedColumnFormula>
    </tableColumn>
    <tableColumn id="16" xr3:uid="{BA20022D-03C4-4D0F-9FA4-5B38EDD5F0FD}" name="CATEGORY_1" dataDxfId="1">
      <calculatedColumnFormula>PROPER(TRIM(CLEAN(Table1[[#This Row],[Category]])))</calculatedColumnFormula>
    </tableColumn>
    <tableColumn id="11" xr3:uid="{D4E72F34-43EF-49F3-88D9-69DEF2187EE7}" name="SALES REP_1">
      <calculatedColumnFormula>PROPER(TRIM(CLEAN(G2)))</calculatedColumnFormula>
    </tableColumn>
    <tableColumn id="12" xr3:uid="{0AA6EF60-8DF6-4735-BB3E-835F1EE73B04}" name="CUSTOMER_1">
      <calculatedColumnFormula>PROPER(TRIM(CLEAN(H2)))</calculatedColumnFormula>
    </tableColumn>
    <tableColumn id="13" xr3:uid="{36A7A4EB-F37F-4F3D-BEA0-226255BFE9D4}" name="AMOUNT_1" dataDxfId="0">
      <calculatedColumnFormula>PRODUCT(E2,F2)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printerSettings" Target="../printerSettings/printerSettings1.bin"/><Relationship Id="rId4" Type="http://schemas.openxmlformats.org/officeDocument/2006/relationships/pivotTable" Target="../pivotTables/pivotTable2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15"/>
  <sheetViews>
    <sheetView workbookViewId="0"/>
  </sheetViews>
  <sheetFormatPr defaultColWidth="0" defaultRowHeight="15" zeroHeight="1" x14ac:dyDescent="0.25"/>
  <cols>
    <col min="1" max="1" width="3.42578125" style="3" customWidth="1"/>
    <col min="2" max="15" width="8.7109375" style="3" customWidth="1"/>
    <col min="16" max="16384" width="8.7109375" style="3" hidden="1"/>
  </cols>
  <sheetData>
    <row r="1" spans="2:14" x14ac:dyDescent="0.25"/>
    <row r="2" spans="2:14" ht="34.5" thickBot="1" x14ac:dyDescent="0.55000000000000004">
      <c r="B2" s="4" t="s">
        <v>228</v>
      </c>
      <c r="C2" s="5"/>
      <c r="D2" s="5"/>
      <c r="E2" s="5"/>
      <c r="F2" s="5"/>
      <c r="G2" s="5"/>
      <c r="H2" s="5"/>
      <c r="I2" s="5"/>
      <c r="J2" s="5"/>
      <c r="K2" s="5"/>
      <c r="L2" s="5"/>
      <c r="M2" s="5"/>
      <c r="N2" s="5"/>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opLeftCell="F1" workbookViewId="0">
      <pane ySplit="1" topLeftCell="A97" activePane="bottomLeft" state="frozen"/>
      <selection pane="bottomLeft" activeCell="N37" sqref="N37"/>
    </sheetView>
  </sheetViews>
  <sheetFormatPr defaultRowHeight="15" x14ac:dyDescent="0.25"/>
  <cols>
    <col min="1" max="1" width="18.85546875" style="6" customWidth="1"/>
    <col min="2" max="2" width="18.85546875" style="9" customWidth="1"/>
    <col min="3" max="3" width="18.85546875" customWidth="1"/>
    <col min="4" max="4" width="12.85546875" style="13" customWidth="1"/>
    <col min="5" max="5" width="11.7109375" style="16" customWidth="1"/>
    <col min="6" max="6" width="18.85546875" style="9" customWidth="1"/>
    <col min="7" max="7" width="20.140625" style="9" customWidth="1"/>
    <col min="8" max="8" width="20.28515625" customWidth="1"/>
    <col min="9" max="9" width="12.7109375" customWidth="1"/>
    <col min="10" max="10" width="23.28515625" customWidth="1"/>
    <col min="11" max="11" width="16.85546875" customWidth="1"/>
    <col min="12" max="12" width="17" customWidth="1"/>
    <col min="13" max="13" width="20.7109375" style="16" customWidth="1"/>
    <col min="14" max="14" width="19.28515625" customWidth="1"/>
  </cols>
  <sheetData>
    <row r="1" spans="1:14" x14ac:dyDescent="0.25">
      <c r="A1" s="18" t="s">
        <v>263</v>
      </c>
      <c r="B1" s="7" t="s">
        <v>0</v>
      </c>
      <c r="C1" s="2" t="s">
        <v>1</v>
      </c>
      <c r="D1" s="2" t="s">
        <v>2</v>
      </c>
      <c r="E1" s="11" t="s">
        <v>264</v>
      </c>
      <c r="F1" s="14" t="s">
        <v>265</v>
      </c>
      <c r="G1" s="7" t="s">
        <v>3</v>
      </c>
      <c r="H1" s="7" t="s">
        <v>4</v>
      </c>
      <c r="I1" s="10" t="s">
        <v>257</v>
      </c>
      <c r="J1" s="10" t="s">
        <v>258</v>
      </c>
      <c r="K1" s="10" t="s">
        <v>259</v>
      </c>
      <c r="L1" s="10" t="s">
        <v>260</v>
      </c>
      <c r="M1" s="10" t="s">
        <v>261</v>
      </c>
      <c r="N1" s="17" t="s">
        <v>262</v>
      </c>
    </row>
    <row r="2" spans="1:14" x14ac:dyDescent="0.25">
      <c r="A2" s="19">
        <v>45821</v>
      </c>
      <c r="B2" s="8" t="s">
        <v>5</v>
      </c>
      <c r="C2" s="1" t="s">
        <v>115</v>
      </c>
      <c r="D2" s="1" t="s">
        <v>245</v>
      </c>
      <c r="E2" s="12">
        <v>8</v>
      </c>
      <c r="F2" s="15">
        <v>2500000</v>
      </c>
      <c r="G2" s="8" t="s">
        <v>6</v>
      </c>
      <c r="H2" s="8" t="s">
        <v>7</v>
      </c>
      <c r="I2" t="str">
        <f t="shared" ref="I2:I33" si="0">CLEAN(TRIM(PROPER(B2)))</f>
        <v>South</v>
      </c>
      <c r="J2" t="str">
        <f>PROPER(CLEAN(TRIM(C2)))</f>
        <v>Laptop A15</v>
      </c>
      <c r="K2" t="str">
        <f>PROPER(TRIM(CLEAN(Table1[[#This Row],[Category]])))</f>
        <v>Computers</v>
      </c>
      <c r="L2" t="str">
        <f>PROPER(TRIM(CLEAN(G2)))</f>
        <v>Peter Obi</v>
      </c>
      <c r="M2" t="str">
        <f>PROPER(TRIM(CLEAN(H2)))</f>
        <v>Bright Solutions</v>
      </c>
      <c r="N2" s="16">
        <f>PRODUCT(E2,F2)</f>
        <v>20000000</v>
      </c>
    </row>
    <row r="3" spans="1:14" x14ac:dyDescent="0.25">
      <c r="A3" s="19">
        <v>45822</v>
      </c>
      <c r="B3" s="8" t="s">
        <v>8</v>
      </c>
      <c r="C3" s="1" t="s">
        <v>9</v>
      </c>
      <c r="D3" s="1" t="s">
        <v>10</v>
      </c>
      <c r="E3" s="12">
        <v>6</v>
      </c>
      <c r="F3" s="15">
        <v>350000</v>
      </c>
      <c r="G3" s="8" t="s">
        <v>11</v>
      </c>
      <c r="H3" s="8" t="s">
        <v>12</v>
      </c>
      <c r="I3" t="str">
        <f t="shared" si="0"/>
        <v>East</v>
      </c>
      <c r="J3" t="str">
        <f t="shared" ref="J3:J33" si="1">PROPER(CLEAN(TRIM(C3)))</f>
        <v>Tv 43Q</v>
      </c>
      <c r="K3" t="str">
        <f>PROPER(TRIM(CLEAN(Table1[[#This Row],[Category]])))</f>
        <v>Electronics</v>
      </c>
      <c r="L3" t="str">
        <f t="shared" ref="L3:L66" si="2">PROPER(TRIM(CLEAN(G3)))</f>
        <v>Ifeanyi Okafor</v>
      </c>
      <c r="M3" t="str">
        <f t="shared" ref="M3:M66" si="3">PROPER(TRIM(CLEAN(H3)))</f>
        <v>Musa Enterprises</v>
      </c>
      <c r="N3" s="16">
        <f t="shared" ref="N3:N66" si="4">PRODUCT(E3,F3)</f>
        <v>2100000</v>
      </c>
    </row>
    <row r="4" spans="1:14" x14ac:dyDescent="0.25">
      <c r="A4" s="19">
        <v>45823</v>
      </c>
      <c r="B4" s="8" t="s">
        <v>13</v>
      </c>
      <c r="C4" s="1" t="s">
        <v>14</v>
      </c>
      <c r="D4" s="1" t="s">
        <v>15</v>
      </c>
      <c r="E4" s="12">
        <v>14</v>
      </c>
      <c r="F4" s="15">
        <v>180000</v>
      </c>
      <c r="G4" s="8" t="s">
        <v>16</v>
      </c>
      <c r="H4" s="8" t="s">
        <v>266</v>
      </c>
      <c r="I4" t="str">
        <f t="shared" si="0"/>
        <v>North</v>
      </c>
      <c r="J4" t="str">
        <f t="shared" si="1"/>
        <v>Phone X12</v>
      </c>
      <c r="K4" t="str">
        <f>PROPER(TRIM(CLEAN(Table1[[#This Row],[Category]])))</f>
        <v>Mobile</v>
      </c>
      <c r="L4" t="str">
        <f t="shared" si="2"/>
        <v>Fola Balogun</v>
      </c>
      <c r="M4" t="str">
        <f t="shared" si="3"/>
        <v>Zainab Global</v>
      </c>
      <c r="N4" s="16">
        <f t="shared" si="4"/>
        <v>2520000</v>
      </c>
    </row>
    <row r="5" spans="1:14" x14ac:dyDescent="0.25">
      <c r="A5" s="19">
        <v>45824</v>
      </c>
      <c r="B5" s="8" t="s">
        <v>5</v>
      </c>
      <c r="C5" s="1" t="s">
        <v>235</v>
      </c>
      <c r="D5" s="1" t="s">
        <v>246</v>
      </c>
      <c r="E5" s="12">
        <v>18</v>
      </c>
      <c r="F5" s="15">
        <v>65000</v>
      </c>
      <c r="G5" s="8" t="s">
        <v>17</v>
      </c>
      <c r="H5" s="8" t="s">
        <v>267</v>
      </c>
      <c r="I5" t="str">
        <f t="shared" si="0"/>
        <v>South</v>
      </c>
      <c r="J5" t="str">
        <f t="shared" si="1"/>
        <v>Monitor M24</v>
      </c>
      <c r="K5" t="str">
        <f>PROPER(TRIM(CLEAN(Table1[[#This Row],[Category]])))</f>
        <v>Peripherals</v>
      </c>
      <c r="L5" t="str">
        <f t="shared" si="2"/>
        <v>Ifeanyi Okafor</v>
      </c>
      <c r="M5" t="str">
        <f t="shared" si="3"/>
        <v>Jide Superstores</v>
      </c>
      <c r="N5" s="16">
        <f t="shared" si="4"/>
        <v>1170000</v>
      </c>
    </row>
    <row r="6" spans="1:14" x14ac:dyDescent="0.25">
      <c r="A6" s="19">
        <v>45825</v>
      </c>
      <c r="B6" s="8" t="s">
        <v>18</v>
      </c>
      <c r="C6" s="1" t="s">
        <v>290</v>
      </c>
      <c r="D6" s="1" t="s">
        <v>19</v>
      </c>
      <c r="E6" s="12">
        <v>5</v>
      </c>
      <c r="F6" s="15">
        <v>180000</v>
      </c>
      <c r="G6" s="8" t="s">
        <v>29</v>
      </c>
      <c r="H6" s="8" t="s">
        <v>239</v>
      </c>
      <c r="I6" t="str">
        <f t="shared" si="0"/>
        <v>West</v>
      </c>
      <c r="J6" t="str">
        <f t="shared" si="1"/>
        <v>Phone X12</v>
      </c>
      <c r="K6" t="str">
        <f>PROPER(TRIM(CLEAN(Table1[[#This Row],[Category]])))</f>
        <v>Mobile</v>
      </c>
      <c r="L6" t="str">
        <f t="shared" si="2"/>
        <v>Peter Obi</v>
      </c>
      <c r="M6" t="str">
        <f t="shared" si="3"/>
        <v>Chika Mart</v>
      </c>
      <c r="N6" s="16">
        <f t="shared" si="4"/>
        <v>900000</v>
      </c>
    </row>
    <row r="7" spans="1:14" x14ac:dyDescent="0.25">
      <c r="A7" s="19">
        <v>45826</v>
      </c>
      <c r="B7" s="8" t="s">
        <v>153</v>
      </c>
      <c r="C7" s="1" t="s">
        <v>290</v>
      </c>
      <c r="D7" s="1" t="s">
        <v>20</v>
      </c>
      <c r="E7" s="12">
        <v>19</v>
      </c>
      <c r="F7" s="15">
        <v>157427</v>
      </c>
      <c r="G7" s="8" t="s">
        <v>21</v>
      </c>
      <c r="H7" s="8" t="s">
        <v>22</v>
      </c>
      <c r="I7" t="str">
        <f t="shared" si="0"/>
        <v>East</v>
      </c>
      <c r="J7" t="str">
        <f t="shared" si="1"/>
        <v>Phone X12</v>
      </c>
      <c r="K7" t="str">
        <f>PROPER(TRIM(CLEAN(Table1[[#This Row],[Category]])))</f>
        <v>Mobile</v>
      </c>
      <c r="L7" t="str">
        <f t="shared" si="2"/>
        <v>Ifeanyi Okafor</v>
      </c>
      <c r="M7" t="str">
        <f t="shared" si="3"/>
        <v>Musa Enterprises</v>
      </c>
      <c r="N7" s="16">
        <f t="shared" si="4"/>
        <v>2991113</v>
      </c>
    </row>
    <row r="8" spans="1:14" x14ac:dyDescent="0.25">
      <c r="A8" s="19">
        <v>45827</v>
      </c>
      <c r="B8" s="8" t="s">
        <v>23</v>
      </c>
      <c r="C8" s="1" t="s">
        <v>184</v>
      </c>
      <c r="D8" s="1" t="s">
        <v>24</v>
      </c>
      <c r="E8" s="12">
        <v>3</v>
      </c>
      <c r="F8" s="15">
        <v>350000</v>
      </c>
      <c r="G8" s="8" t="s">
        <v>25</v>
      </c>
      <c r="H8" s="8" t="s">
        <v>26</v>
      </c>
      <c r="I8" t="str">
        <f t="shared" si="0"/>
        <v>West</v>
      </c>
      <c r="J8" t="str">
        <f t="shared" si="1"/>
        <v>Tv 43Q</v>
      </c>
      <c r="K8" t="str">
        <f>PROPER(TRIM(CLEAN(Table1[[#This Row],[Category]])))</f>
        <v>Electronics</v>
      </c>
      <c r="L8" t="str">
        <f t="shared" si="2"/>
        <v>Aisha Bello</v>
      </c>
      <c r="M8" t="str">
        <f t="shared" si="3"/>
        <v>Chika Mart</v>
      </c>
      <c r="N8" s="16">
        <f t="shared" si="4"/>
        <v>1050000</v>
      </c>
    </row>
    <row r="9" spans="1:14" x14ac:dyDescent="0.25">
      <c r="A9" s="19">
        <v>45828</v>
      </c>
      <c r="B9" s="8" t="s">
        <v>27</v>
      </c>
      <c r="C9" s="1" t="s">
        <v>177</v>
      </c>
      <c r="D9" s="1" t="s">
        <v>28</v>
      </c>
      <c r="E9" s="12">
        <v>2</v>
      </c>
      <c r="F9" s="15">
        <v>65000</v>
      </c>
      <c r="G9" s="8" t="s">
        <v>29</v>
      </c>
      <c r="H9" s="8" t="s">
        <v>12</v>
      </c>
      <c r="I9" t="str">
        <f t="shared" si="0"/>
        <v>West</v>
      </c>
      <c r="J9" t="str">
        <f t="shared" si="1"/>
        <v>Monitor M24</v>
      </c>
      <c r="K9" t="str">
        <f>PROPER(TRIM(CLEAN(Table1[[#This Row],[Category]])))</f>
        <v>Peripherals</v>
      </c>
      <c r="L9" t="str">
        <f t="shared" si="2"/>
        <v>Peter Obi</v>
      </c>
      <c r="M9" t="str">
        <f t="shared" si="3"/>
        <v>Musa Enterprises</v>
      </c>
      <c r="N9" s="16">
        <f t="shared" si="4"/>
        <v>130000</v>
      </c>
    </row>
    <row r="10" spans="1:14" x14ac:dyDescent="0.25">
      <c r="A10" s="19">
        <v>45829</v>
      </c>
      <c r="B10" s="8" t="s">
        <v>30</v>
      </c>
      <c r="C10" s="1" t="s">
        <v>31</v>
      </c>
      <c r="D10" s="1" t="s">
        <v>105</v>
      </c>
      <c r="E10" s="12">
        <v>14</v>
      </c>
      <c r="F10" s="15">
        <v>175000</v>
      </c>
      <c r="G10" s="8" t="s">
        <v>32</v>
      </c>
      <c r="H10" s="8" t="s">
        <v>268</v>
      </c>
      <c r="I10" t="str">
        <f t="shared" si="0"/>
        <v>East</v>
      </c>
      <c r="J10" t="str">
        <f t="shared" si="1"/>
        <v>Camera C100</v>
      </c>
      <c r="K10" t="str">
        <f>PROPER(TRIM(CLEAN(Table1[[#This Row],[Category]])))</f>
        <v>Photography</v>
      </c>
      <c r="L10" t="str">
        <f t="shared" si="2"/>
        <v>Fola Balogun</v>
      </c>
      <c r="M10" t="str">
        <f t="shared" si="3"/>
        <v>Bright Solutions</v>
      </c>
      <c r="N10" s="16">
        <f t="shared" si="4"/>
        <v>2450000</v>
      </c>
    </row>
    <row r="11" spans="1:14" x14ac:dyDescent="0.25">
      <c r="A11" s="19">
        <v>45830</v>
      </c>
      <c r="B11" s="8" t="s">
        <v>33</v>
      </c>
      <c r="C11" s="1" t="s">
        <v>58</v>
      </c>
      <c r="D11" s="1" t="s">
        <v>247</v>
      </c>
      <c r="E11" s="12">
        <v>4</v>
      </c>
      <c r="F11" s="15">
        <v>150000</v>
      </c>
      <c r="G11" s="8" t="s">
        <v>35</v>
      </c>
      <c r="H11" s="8" t="s">
        <v>36</v>
      </c>
      <c r="I11" t="str">
        <f t="shared" si="0"/>
        <v>West</v>
      </c>
      <c r="J11" t="str">
        <f t="shared" si="1"/>
        <v>Tablet T8</v>
      </c>
      <c r="K11" t="str">
        <f>PROPER(TRIM(CLEAN(Table1[[#This Row],[Category]])))</f>
        <v>Mobile</v>
      </c>
      <c r="L11" t="str">
        <f t="shared" si="2"/>
        <v>Peter Obi</v>
      </c>
      <c r="M11" t="str">
        <f t="shared" si="3"/>
        <v>Alpha Retailers</v>
      </c>
      <c r="N11" s="16">
        <f t="shared" si="4"/>
        <v>600000</v>
      </c>
    </row>
    <row r="12" spans="1:14" x14ac:dyDescent="0.25">
      <c r="A12" s="19">
        <v>45831</v>
      </c>
      <c r="B12" s="8" t="s">
        <v>37</v>
      </c>
      <c r="C12" s="1" t="s">
        <v>291</v>
      </c>
      <c r="D12" s="1" t="s">
        <v>38</v>
      </c>
      <c r="E12" s="12">
        <v>20</v>
      </c>
      <c r="F12" s="15">
        <v>150000</v>
      </c>
      <c r="G12" s="8" t="s">
        <v>39</v>
      </c>
      <c r="H12" s="8" t="s">
        <v>40</v>
      </c>
      <c r="I12" t="str">
        <f t="shared" si="0"/>
        <v>South</v>
      </c>
      <c r="J12" t="str">
        <f t="shared" si="1"/>
        <v>Tablet T8</v>
      </c>
      <c r="K12" t="str">
        <f>PROPER(TRIM(CLEAN(Table1[[#This Row],[Category]])))</f>
        <v>Mobile</v>
      </c>
      <c r="L12" t="str">
        <f t="shared" si="2"/>
        <v>Fola Balogun</v>
      </c>
      <c r="M12" t="str">
        <f t="shared" si="3"/>
        <v>Musa Enterprises</v>
      </c>
      <c r="N12" s="16">
        <f t="shared" si="4"/>
        <v>3000000</v>
      </c>
    </row>
    <row r="13" spans="1:14" x14ac:dyDescent="0.25">
      <c r="A13" s="19">
        <v>45832</v>
      </c>
      <c r="B13" s="8" t="s">
        <v>41</v>
      </c>
      <c r="C13" s="1" t="s">
        <v>234</v>
      </c>
      <c r="D13" s="1" t="s">
        <v>248</v>
      </c>
      <c r="E13" s="12">
        <v>6</v>
      </c>
      <c r="F13" s="15">
        <v>85000</v>
      </c>
      <c r="G13" s="8" t="s">
        <v>42</v>
      </c>
      <c r="H13" s="8" t="s">
        <v>43</v>
      </c>
      <c r="I13" t="str">
        <f t="shared" si="0"/>
        <v>North</v>
      </c>
      <c r="J13" t="str">
        <f t="shared" si="1"/>
        <v>Speaker S10</v>
      </c>
      <c r="K13" t="str">
        <f>PROPER(TRIM(CLEAN(Table1[[#This Row],[Category]])))</f>
        <v>Audio</v>
      </c>
      <c r="L13" t="str">
        <f t="shared" si="2"/>
        <v>Aisha Bello</v>
      </c>
      <c r="M13" t="str">
        <f t="shared" si="3"/>
        <v>Omega Wholesale</v>
      </c>
      <c r="N13" s="16">
        <f t="shared" si="4"/>
        <v>510000</v>
      </c>
    </row>
    <row r="14" spans="1:14" x14ac:dyDescent="0.25">
      <c r="A14" s="19">
        <v>45833</v>
      </c>
      <c r="B14" s="8" t="s">
        <v>23</v>
      </c>
      <c r="C14" s="1" t="s">
        <v>90</v>
      </c>
      <c r="D14" s="1" t="s">
        <v>15</v>
      </c>
      <c r="E14" s="12">
        <v>1</v>
      </c>
      <c r="F14" s="15">
        <v>150000</v>
      </c>
      <c r="G14" s="8" t="s">
        <v>44</v>
      </c>
      <c r="H14" s="8" t="s">
        <v>45</v>
      </c>
      <c r="I14" t="str">
        <f t="shared" si="0"/>
        <v>West</v>
      </c>
      <c r="J14" t="str">
        <f t="shared" si="1"/>
        <v>Tablet T8</v>
      </c>
      <c r="K14" t="str">
        <f>PROPER(TRIM(CLEAN(Table1[[#This Row],[Category]])))</f>
        <v>Mobile</v>
      </c>
      <c r="L14" t="str">
        <f t="shared" si="2"/>
        <v>Aisha Bello</v>
      </c>
      <c r="M14" t="str">
        <f t="shared" si="3"/>
        <v>Kelvin Tech</v>
      </c>
      <c r="N14" s="16">
        <f t="shared" si="4"/>
        <v>150000</v>
      </c>
    </row>
    <row r="15" spans="1:14" x14ac:dyDescent="0.25">
      <c r="A15" s="19">
        <v>45834</v>
      </c>
      <c r="B15" s="8" t="s">
        <v>295</v>
      </c>
      <c r="C15" s="1" t="s">
        <v>46</v>
      </c>
      <c r="D15" s="1" t="s">
        <v>10</v>
      </c>
      <c r="E15" s="12">
        <v>18</v>
      </c>
      <c r="F15" s="15">
        <v>35000</v>
      </c>
      <c r="G15" s="8" t="s">
        <v>47</v>
      </c>
      <c r="H15" s="8" t="s">
        <v>48</v>
      </c>
      <c r="I15" t="str">
        <f t="shared" si="0"/>
        <v>East</v>
      </c>
      <c r="J15" t="str">
        <f t="shared" si="1"/>
        <v>Tv 43Q</v>
      </c>
      <c r="K15" t="str">
        <f>PROPER(TRIM(CLEAN(Table1[[#This Row],[Category]])))</f>
        <v>Electronics</v>
      </c>
      <c r="L15" t="str">
        <f t="shared" si="2"/>
        <v>Chinedu Nwosu</v>
      </c>
      <c r="M15" t="str">
        <f t="shared" si="3"/>
        <v>Emeka Traders</v>
      </c>
      <c r="N15" s="16">
        <f t="shared" si="4"/>
        <v>630000</v>
      </c>
    </row>
    <row r="16" spans="1:14" x14ac:dyDescent="0.25">
      <c r="A16" s="19">
        <v>45835</v>
      </c>
      <c r="B16" s="8" t="s">
        <v>113</v>
      </c>
      <c r="C16" s="1" t="s">
        <v>170</v>
      </c>
      <c r="D16" s="1" t="s">
        <v>248</v>
      </c>
      <c r="E16" s="12">
        <v>2</v>
      </c>
      <c r="F16" s="15">
        <v>85000</v>
      </c>
      <c r="G16" s="8" t="s">
        <v>49</v>
      </c>
      <c r="H16" s="8" t="s">
        <v>50</v>
      </c>
      <c r="I16" t="str">
        <f t="shared" si="0"/>
        <v>South</v>
      </c>
      <c r="J16" t="str">
        <f t="shared" si="1"/>
        <v>Speaker S10</v>
      </c>
      <c r="K16" t="str">
        <f>PROPER(TRIM(CLEAN(Table1[[#This Row],[Category]])))</f>
        <v>Audio</v>
      </c>
      <c r="L16" t="str">
        <f t="shared" si="2"/>
        <v>Ifeanyi Okafor</v>
      </c>
      <c r="M16" t="str">
        <f t="shared" si="3"/>
        <v>Bright Solutions</v>
      </c>
      <c r="N16" s="16">
        <f t="shared" si="4"/>
        <v>170000</v>
      </c>
    </row>
    <row r="17" spans="1:14" x14ac:dyDescent="0.25">
      <c r="A17" s="19">
        <v>45836</v>
      </c>
      <c r="B17" s="8" t="s">
        <v>51</v>
      </c>
      <c r="C17" s="1" t="s">
        <v>52</v>
      </c>
      <c r="D17" s="1" t="s">
        <v>196</v>
      </c>
      <c r="E17" s="12">
        <v>11</v>
      </c>
      <c r="F17" s="15">
        <v>62035</v>
      </c>
      <c r="G17" s="8" t="s">
        <v>53</v>
      </c>
      <c r="H17" s="8" t="s">
        <v>54</v>
      </c>
      <c r="I17" t="str">
        <f t="shared" si="0"/>
        <v>East</v>
      </c>
      <c r="J17" t="str">
        <f t="shared" si="1"/>
        <v>Monitor M24</v>
      </c>
      <c r="K17" t="str">
        <f>PROPER(TRIM(CLEAN(Table1[[#This Row],[Category]])))</f>
        <v>Peripherals</v>
      </c>
      <c r="L17" t="str">
        <f t="shared" si="2"/>
        <v>Chinedu Nwosu</v>
      </c>
      <c r="M17" t="str">
        <f t="shared" si="3"/>
        <v>Tola Ventures</v>
      </c>
      <c r="N17" s="16">
        <f t="shared" si="4"/>
        <v>682385</v>
      </c>
    </row>
    <row r="18" spans="1:14" x14ac:dyDescent="0.25">
      <c r="A18" s="19">
        <v>45837</v>
      </c>
      <c r="B18" s="8" t="s">
        <v>55</v>
      </c>
      <c r="C18" s="1" t="s">
        <v>233</v>
      </c>
      <c r="D18" s="1" t="s">
        <v>61</v>
      </c>
      <c r="E18" s="12">
        <v>10</v>
      </c>
      <c r="F18" s="15">
        <v>175000</v>
      </c>
      <c r="G18" s="8" t="s">
        <v>56</v>
      </c>
      <c r="H18" s="8" t="s">
        <v>43</v>
      </c>
      <c r="I18" t="str">
        <f t="shared" si="0"/>
        <v>East</v>
      </c>
      <c r="J18" t="str">
        <f t="shared" si="1"/>
        <v>Camera C100</v>
      </c>
      <c r="K18" t="str">
        <f>PROPER(TRIM(CLEAN(Table1[[#This Row],[Category]])))</f>
        <v>Photography</v>
      </c>
      <c r="L18" t="str">
        <f t="shared" si="2"/>
        <v>Fola Balogun</v>
      </c>
      <c r="M18" t="str">
        <f t="shared" si="3"/>
        <v>Omega Wholesale</v>
      </c>
      <c r="N18" s="16">
        <f t="shared" si="4"/>
        <v>1750000</v>
      </c>
    </row>
    <row r="19" spans="1:14" x14ac:dyDescent="0.25">
      <c r="A19" s="19">
        <v>45838</v>
      </c>
      <c r="B19" s="8" t="s">
        <v>57</v>
      </c>
      <c r="C19" s="1" t="s">
        <v>58</v>
      </c>
      <c r="D19" s="1" t="s">
        <v>20</v>
      </c>
      <c r="E19" s="12">
        <v>4</v>
      </c>
      <c r="F19" s="15">
        <v>150000</v>
      </c>
      <c r="G19" s="8" t="s">
        <v>59</v>
      </c>
      <c r="H19" s="8" t="s">
        <v>269</v>
      </c>
      <c r="I19" t="str">
        <f t="shared" si="0"/>
        <v>West</v>
      </c>
      <c r="J19" t="str">
        <f t="shared" si="1"/>
        <v>Tablet T8</v>
      </c>
      <c r="K19" t="str">
        <f>PROPER(TRIM(CLEAN(Table1[[#This Row],[Category]])))</f>
        <v>Mobile</v>
      </c>
      <c r="L19" t="str">
        <f t="shared" si="2"/>
        <v>Mary John</v>
      </c>
      <c r="M19" t="str">
        <f t="shared" si="3"/>
        <v>Jide Superstores</v>
      </c>
      <c r="N19" s="16">
        <f t="shared" si="4"/>
        <v>600000</v>
      </c>
    </row>
    <row r="20" spans="1:14" x14ac:dyDescent="0.25">
      <c r="A20" s="19">
        <v>45839</v>
      </c>
      <c r="B20" s="8" t="s">
        <v>33</v>
      </c>
      <c r="C20" s="1" t="s">
        <v>60</v>
      </c>
      <c r="D20" s="1" t="s">
        <v>61</v>
      </c>
      <c r="E20" s="12">
        <v>3</v>
      </c>
      <c r="F20" s="15">
        <v>175000</v>
      </c>
      <c r="G20" s="8" t="s">
        <v>62</v>
      </c>
      <c r="H20" s="8" t="s">
        <v>138</v>
      </c>
      <c r="I20" t="str">
        <f t="shared" si="0"/>
        <v>West</v>
      </c>
      <c r="J20" t="str">
        <f t="shared" si="1"/>
        <v>Camera C100</v>
      </c>
      <c r="K20" t="str">
        <f>PROPER(TRIM(CLEAN(Table1[[#This Row],[Category]])))</f>
        <v>Photography</v>
      </c>
      <c r="L20" t="str">
        <f t="shared" si="2"/>
        <v>Grace Amos</v>
      </c>
      <c r="M20" t="str">
        <f t="shared" si="3"/>
        <v>Femi Tech</v>
      </c>
      <c r="N20" s="16">
        <f t="shared" si="4"/>
        <v>525000</v>
      </c>
    </row>
    <row r="21" spans="1:14" x14ac:dyDescent="0.25">
      <c r="A21" s="19">
        <v>45840</v>
      </c>
      <c r="B21" s="8" t="s">
        <v>63</v>
      </c>
      <c r="C21" s="1" t="s">
        <v>233</v>
      </c>
      <c r="D21" s="1" t="s">
        <v>61</v>
      </c>
      <c r="E21" s="12">
        <v>5</v>
      </c>
      <c r="F21" s="15">
        <v>175000</v>
      </c>
      <c r="G21" s="8" t="s">
        <v>65</v>
      </c>
      <c r="H21" s="8" t="s">
        <v>138</v>
      </c>
      <c r="I21" t="str">
        <f t="shared" si="0"/>
        <v>North</v>
      </c>
      <c r="J21" t="str">
        <f t="shared" si="1"/>
        <v>Camera C100</v>
      </c>
      <c r="K21" t="str">
        <f>PROPER(TRIM(CLEAN(Table1[[#This Row],[Category]])))</f>
        <v>Photography</v>
      </c>
      <c r="L21" t="str">
        <f t="shared" si="2"/>
        <v>Chinedu Nwosu</v>
      </c>
      <c r="M21" t="str">
        <f t="shared" si="3"/>
        <v>Femi Tech</v>
      </c>
      <c r="N21" s="16">
        <f t="shared" si="4"/>
        <v>875000</v>
      </c>
    </row>
    <row r="22" spans="1:14" x14ac:dyDescent="0.25">
      <c r="A22" s="19">
        <v>45841</v>
      </c>
      <c r="B22" s="8" t="s">
        <v>66</v>
      </c>
      <c r="C22" s="1" t="s">
        <v>67</v>
      </c>
      <c r="D22" s="1" t="s">
        <v>68</v>
      </c>
      <c r="E22" s="12">
        <v>20</v>
      </c>
      <c r="F22" s="15">
        <v>250000</v>
      </c>
      <c r="G22" s="8" t="s">
        <v>69</v>
      </c>
      <c r="H22" s="8" t="s">
        <v>22</v>
      </c>
      <c r="I22" t="str">
        <f t="shared" si="0"/>
        <v>East</v>
      </c>
      <c r="J22" t="str">
        <f t="shared" si="1"/>
        <v>Laptop A15</v>
      </c>
      <c r="K22" t="str">
        <f>PROPER(TRIM(CLEAN(Table1[[#This Row],[Category]])))</f>
        <v>Computers</v>
      </c>
      <c r="L22" t="str">
        <f t="shared" si="2"/>
        <v>Grace Amos</v>
      </c>
      <c r="M22" t="str">
        <f t="shared" si="3"/>
        <v>Musa Enterprises</v>
      </c>
      <c r="N22" s="16">
        <f t="shared" si="4"/>
        <v>5000000</v>
      </c>
    </row>
    <row r="23" spans="1:14" x14ac:dyDescent="0.25">
      <c r="A23" s="19">
        <v>45842</v>
      </c>
      <c r="B23" s="8" t="s">
        <v>55</v>
      </c>
      <c r="C23" s="1" t="s">
        <v>292</v>
      </c>
      <c r="D23" s="1" t="s">
        <v>216</v>
      </c>
      <c r="E23" s="12">
        <v>2</v>
      </c>
      <c r="F23" s="15">
        <v>175000</v>
      </c>
      <c r="G23" s="8" t="s">
        <v>70</v>
      </c>
      <c r="H23" s="8" t="s">
        <v>270</v>
      </c>
      <c r="I23" t="str">
        <f t="shared" si="0"/>
        <v>East</v>
      </c>
      <c r="J23" t="str">
        <f t="shared" si="1"/>
        <v>Camera C100</v>
      </c>
      <c r="K23" t="str">
        <f>PROPER(TRIM(CLEAN(Table1[[#This Row],[Category]])))</f>
        <v>Photography</v>
      </c>
      <c r="L23" t="str">
        <f t="shared" si="2"/>
        <v>Peter Obi</v>
      </c>
      <c r="M23" t="str">
        <f t="shared" si="3"/>
        <v>Emeka Traders</v>
      </c>
      <c r="N23" s="16">
        <f t="shared" si="4"/>
        <v>350000</v>
      </c>
    </row>
    <row r="24" spans="1:14" x14ac:dyDescent="0.25">
      <c r="A24" s="19">
        <v>45843</v>
      </c>
      <c r="B24" s="8" t="s">
        <v>71</v>
      </c>
      <c r="C24" s="1" t="s">
        <v>58</v>
      </c>
      <c r="D24" s="1" t="s">
        <v>247</v>
      </c>
      <c r="E24" s="12">
        <v>20</v>
      </c>
      <c r="F24" s="15">
        <v>150000</v>
      </c>
      <c r="G24" s="8" t="s">
        <v>56</v>
      </c>
      <c r="H24" s="8" t="s">
        <v>73</v>
      </c>
      <c r="I24" t="str">
        <f t="shared" si="0"/>
        <v>East</v>
      </c>
      <c r="J24" t="str">
        <f t="shared" si="1"/>
        <v>Tablet T8</v>
      </c>
      <c r="K24" t="str">
        <f>PROPER(TRIM(CLEAN(Table1[[#This Row],[Category]])))</f>
        <v>Mobile</v>
      </c>
      <c r="L24" t="str">
        <f t="shared" si="2"/>
        <v>Fola Balogun</v>
      </c>
      <c r="M24" t="str">
        <f t="shared" si="3"/>
        <v>Maryam Ltd</v>
      </c>
      <c r="N24" s="16">
        <f t="shared" si="4"/>
        <v>3000000</v>
      </c>
    </row>
    <row r="25" spans="1:14" x14ac:dyDescent="0.25">
      <c r="A25" s="19">
        <v>45844</v>
      </c>
      <c r="B25" s="8" t="s">
        <v>74</v>
      </c>
      <c r="C25" s="1" t="s">
        <v>293</v>
      </c>
      <c r="D25" s="1" t="s">
        <v>20</v>
      </c>
      <c r="E25" s="12">
        <v>8</v>
      </c>
      <c r="F25" s="15">
        <v>150000</v>
      </c>
      <c r="G25" s="8" t="s">
        <v>75</v>
      </c>
      <c r="H25" s="8" t="s">
        <v>76</v>
      </c>
      <c r="I25" t="str">
        <f t="shared" si="0"/>
        <v>North</v>
      </c>
      <c r="J25" t="str">
        <f t="shared" si="1"/>
        <v>Tablet T8</v>
      </c>
      <c r="K25" t="str">
        <f>PROPER(TRIM(CLEAN(Table1[[#This Row],[Category]])))</f>
        <v>Mobile</v>
      </c>
      <c r="L25" t="str">
        <f t="shared" si="2"/>
        <v>Ifeanyi Okafor</v>
      </c>
      <c r="M25" t="str">
        <f t="shared" si="3"/>
        <v>Omega Wholesale</v>
      </c>
      <c r="N25" s="16">
        <f t="shared" si="4"/>
        <v>1200000</v>
      </c>
    </row>
    <row r="26" spans="1:14" x14ac:dyDescent="0.25">
      <c r="A26" s="19">
        <v>45845</v>
      </c>
      <c r="B26" s="8" t="s">
        <v>77</v>
      </c>
      <c r="C26" s="1" t="s">
        <v>67</v>
      </c>
      <c r="D26" s="1" t="s">
        <v>249</v>
      </c>
      <c r="E26" s="12">
        <v>19</v>
      </c>
      <c r="F26" s="15">
        <v>250000</v>
      </c>
      <c r="G26" s="8" t="s">
        <v>78</v>
      </c>
      <c r="H26" s="8" t="s">
        <v>198</v>
      </c>
      <c r="I26" t="str">
        <f t="shared" si="0"/>
        <v>West</v>
      </c>
      <c r="J26" t="str">
        <f t="shared" si="1"/>
        <v>Laptop A15</v>
      </c>
      <c r="K26" t="str">
        <f>PROPER(TRIM(CLEAN(Table1[[#This Row],[Category]])))</f>
        <v>Computers</v>
      </c>
      <c r="L26" t="str">
        <f t="shared" si="2"/>
        <v>Grace Amos</v>
      </c>
      <c r="M26" t="str">
        <f t="shared" si="3"/>
        <v>Femi Tech</v>
      </c>
      <c r="N26" s="16">
        <f t="shared" si="4"/>
        <v>4750000</v>
      </c>
    </row>
    <row r="27" spans="1:14" x14ac:dyDescent="0.25">
      <c r="A27" s="19">
        <v>45846</v>
      </c>
      <c r="B27" s="8" t="s">
        <v>79</v>
      </c>
      <c r="C27" s="1" t="s">
        <v>233</v>
      </c>
      <c r="D27" s="1" t="s">
        <v>80</v>
      </c>
      <c r="E27" s="12">
        <v>12</v>
      </c>
      <c r="F27" s="15">
        <v>175000</v>
      </c>
      <c r="G27" s="8" t="s">
        <v>81</v>
      </c>
      <c r="H27" s="8" t="s">
        <v>43</v>
      </c>
      <c r="I27" t="str">
        <f t="shared" si="0"/>
        <v>East</v>
      </c>
      <c r="J27" t="str">
        <f t="shared" si="1"/>
        <v>Camera C100</v>
      </c>
      <c r="K27" t="str">
        <f>PROPER(TRIM(CLEAN(Table1[[#This Row],[Category]])))</f>
        <v>Photography</v>
      </c>
      <c r="L27" t="str">
        <f t="shared" si="2"/>
        <v>Chinedu Nwosu</v>
      </c>
      <c r="M27" t="str">
        <f t="shared" si="3"/>
        <v>Omega Wholesale</v>
      </c>
      <c r="N27" s="16">
        <f t="shared" si="4"/>
        <v>2100000</v>
      </c>
    </row>
    <row r="28" spans="1:14" x14ac:dyDescent="0.25">
      <c r="A28" s="19">
        <v>45847</v>
      </c>
      <c r="B28" s="8" t="s">
        <v>41</v>
      </c>
      <c r="C28" s="1" t="s">
        <v>82</v>
      </c>
      <c r="D28" s="1" t="s">
        <v>248</v>
      </c>
      <c r="E28" s="12">
        <v>11</v>
      </c>
      <c r="F28" s="15">
        <v>85000</v>
      </c>
      <c r="G28" s="8" t="s">
        <v>83</v>
      </c>
      <c r="H28" s="8" t="s">
        <v>271</v>
      </c>
      <c r="I28" t="str">
        <f t="shared" si="0"/>
        <v>North</v>
      </c>
      <c r="J28" t="str">
        <f t="shared" si="1"/>
        <v>Speaker S10</v>
      </c>
      <c r="K28" t="str">
        <f>PROPER(TRIM(CLEAN(Table1[[#This Row],[Category]])))</f>
        <v>Audio</v>
      </c>
      <c r="L28" t="str">
        <f t="shared" si="2"/>
        <v>Grace Amos</v>
      </c>
      <c r="M28" t="str">
        <f t="shared" si="3"/>
        <v>Femi Tech</v>
      </c>
      <c r="N28" s="16">
        <f t="shared" si="4"/>
        <v>935000</v>
      </c>
    </row>
    <row r="29" spans="1:14" x14ac:dyDescent="0.25">
      <c r="A29" s="19">
        <v>45848</v>
      </c>
      <c r="B29" s="8" t="s">
        <v>74</v>
      </c>
      <c r="C29" s="1" t="s">
        <v>84</v>
      </c>
      <c r="D29" s="1" t="s">
        <v>85</v>
      </c>
      <c r="E29" s="12">
        <v>17</v>
      </c>
      <c r="F29" s="15">
        <v>65000</v>
      </c>
      <c r="G29" s="8" t="s">
        <v>65</v>
      </c>
      <c r="H29" s="8" t="s">
        <v>213</v>
      </c>
      <c r="I29" t="str">
        <f t="shared" si="0"/>
        <v>North</v>
      </c>
      <c r="J29" t="str">
        <f t="shared" si="1"/>
        <v>Monitor M24</v>
      </c>
      <c r="K29" t="str">
        <f>PROPER(TRIM(CLEAN(Table1[[#This Row],[Category]])))</f>
        <v>Peripherals</v>
      </c>
      <c r="L29" t="str">
        <f t="shared" si="2"/>
        <v>Chinedu Nwosu</v>
      </c>
      <c r="M29" t="str">
        <f t="shared" si="3"/>
        <v>Kelvin Tech</v>
      </c>
      <c r="N29" s="16">
        <f t="shared" si="4"/>
        <v>1105000</v>
      </c>
    </row>
    <row r="30" spans="1:14" x14ac:dyDescent="0.25">
      <c r="A30" s="19">
        <v>45849</v>
      </c>
      <c r="B30" s="8" t="s">
        <v>217</v>
      </c>
      <c r="C30" s="1" t="s">
        <v>86</v>
      </c>
      <c r="D30" s="1" t="s">
        <v>297</v>
      </c>
      <c r="E30" s="12">
        <v>15</v>
      </c>
      <c r="F30" s="15">
        <v>350000</v>
      </c>
      <c r="G30" s="8" t="s">
        <v>231</v>
      </c>
      <c r="H30" s="8" t="s">
        <v>272</v>
      </c>
      <c r="I30" t="str">
        <f t="shared" si="0"/>
        <v>South</v>
      </c>
      <c r="J30" t="str">
        <f t="shared" si="1"/>
        <v>Tv 43Q</v>
      </c>
      <c r="K30" t="str">
        <f>PROPER(TRIM(CLEAN(Table1[[#This Row],[Category]])))</f>
        <v>Electronics</v>
      </c>
      <c r="L30" t="str">
        <f t="shared" si="2"/>
        <v>Job Austin</v>
      </c>
      <c r="M30" t="str">
        <f t="shared" si="3"/>
        <v>Zainab Global</v>
      </c>
      <c r="N30" s="16">
        <f t="shared" si="4"/>
        <v>5250000</v>
      </c>
    </row>
    <row r="31" spans="1:14" x14ac:dyDescent="0.25">
      <c r="A31" s="19">
        <v>45850</v>
      </c>
      <c r="B31" s="8" t="s">
        <v>27</v>
      </c>
      <c r="C31" s="1" t="s">
        <v>9</v>
      </c>
      <c r="D31" s="1" t="s">
        <v>87</v>
      </c>
      <c r="E31" s="12">
        <v>8</v>
      </c>
      <c r="F31" s="15">
        <v>350000</v>
      </c>
      <c r="G31" s="8" t="s">
        <v>88</v>
      </c>
      <c r="H31" s="8" t="s">
        <v>273</v>
      </c>
      <c r="I31" t="str">
        <f t="shared" si="0"/>
        <v>West</v>
      </c>
      <c r="J31" t="str">
        <f t="shared" si="1"/>
        <v>Tv 43Q</v>
      </c>
      <c r="K31" t="str">
        <f>PROPER(TRIM(CLEAN(Table1[[#This Row],[Category]])))</f>
        <v>Electronics</v>
      </c>
      <c r="L31" t="str">
        <f t="shared" si="2"/>
        <v>Peter Obi</v>
      </c>
      <c r="M31" t="str">
        <f t="shared" si="3"/>
        <v>Femi Tech</v>
      </c>
      <c r="N31" s="16">
        <f t="shared" si="4"/>
        <v>2800000</v>
      </c>
    </row>
    <row r="32" spans="1:14" x14ac:dyDescent="0.25">
      <c r="A32" s="19">
        <v>45851</v>
      </c>
      <c r="B32" s="8" t="s">
        <v>89</v>
      </c>
      <c r="C32" s="1" t="s">
        <v>9</v>
      </c>
      <c r="D32" s="1" t="s">
        <v>87</v>
      </c>
      <c r="E32" s="12">
        <v>14</v>
      </c>
      <c r="F32" s="15">
        <v>350000</v>
      </c>
      <c r="G32" s="8" t="s">
        <v>47</v>
      </c>
      <c r="H32" s="8" t="s">
        <v>240</v>
      </c>
      <c r="I32" t="str">
        <f t="shared" si="0"/>
        <v>West</v>
      </c>
      <c r="J32" t="str">
        <f t="shared" si="1"/>
        <v>Tv 43Q</v>
      </c>
      <c r="K32" t="str">
        <f>PROPER(TRIM(CLEAN(Table1[[#This Row],[Category]])))</f>
        <v>Electronics</v>
      </c>
      <c r="L32" t="str">
        <f t="shared" si="2"/>
        <v>Chinedu Nwosu</v>
      </c>
      <c r="M32" t="str">
        <f t="shared" si="3"/>
        <v>Tope &amp; Sons</v>
      </c>
      <c r="N32" s="16">
        <f t="shared" si="4"/>
        <v>4900000</v>
      </c>
    </row>
    <row r="33" spans="1:14" x14ac:dyDescent="0.25">
      <c r="A33" s="19">
        <v>45852</v>
      </c>
      <c r="B33" s="8" t="s">
        <v>55</v>
      </c>
      <c r="C33" s="1" t="s">
        <v>90</v>
      </c>
      <c r="D33" s="1" t="s">
        <v>20</v>
      </c>
      <c r="E33" s="12">
        <v>12</v>
      </c>
      <c r="F33" s="15">
        <v>150000</v>
      </c>
      <c r="G33" s="8" t="s">
        <v>16</v>
      </c>
      <c r="H33" s="8" t="s">
        <v>91</v>
      </c>
      <c r="I33" t="str">
        <f t="shared" si="0"/>
        <v>East</v>
      </c>
      <c r="J33" t="str">
        <f t="shared" si="1"/>
        <v>Tablet T8</v>
      </c>
      <c r="K33" t="str">
        <f>PROPER(TRIM(CLEAN(Table1[[#This Row],[Category]])))</f>
        <v>Mobile</v>
      </c>
      <c r="L33" t="str">
        <f t="shared" si="2"/>
        <v>Fola Balogun</v>
      </c>
      <c r="M33" t="str">
        <f t="shared" si="3"/>
        <v>Alpha Retailers</v>
      </c>
      <c r="N33" s="16">
        <f t="shared" si="4"/>
        <v>1800000</v>
      </c>
    </row>
    <row r="34" spans="1:14" x14ac:dyDescent="0.25">
      <c r="A34" s="19">
        <v>45853</v>
      </c>
      <c r="B34" s="8" t="s">
        <v>41</v>
      </c>
      <c r="C34" s="1" t="s">
        <v>64</v>
      </c>
      <c r="D34" s="1" t="s">
        <v>93</v>
      </c>
      <c r="E34" s="12">
        <v>8</v>
      </c>
      <c r="F34" s="15">
        <v>175000</v>
      </c>
      <c r="G34" s="8" t="s">
        <v>94</v>
      </c>
      <c r="H34" s="8" t="s">
        <v>95</v>
      </c>
      <c r="I34" t="str">
        <f t="shared" ref="I34:I65" si="5">CLEAN(TRIM(PROPER(B34)))</f>
        <v>North</v>
      </c>
      <c r="J34" t="str">
        <f t="shared" ref="J34:J65" si="6">PROPER(CLEAN(TRIM(C34)))</f>
        <v>Camera C100</v>
      </c>
      <c r="K34" t="str">
        <f>PROPER(TRIM(CLEAN(Table1[[#This Row],[Category]])))</f>
        <v>Photography</v>
      </c>
      <c r="L34" t="str">
        <f t="shared" si="2"/>
        <v>Peter Obi</v>
      </c>
      <c r="M34" t="str">
        <f t="shared" si="3"/>
        <v>Alpha Retailers</v>
      </c>
      <c r="N34" s="16">
        <f t="shared" si="4"/>
        <v>1400000</v>
      </c>
    </row>
    <row r="35" spans="1:14" x14ac:dyDescent="0.25">
      <c r="A35" s="19">
        <v>45854</v>
      </c>
      <c r="B35" s="8" t="s">
        <v>5</v>
      </c>
      <c r="C35" s="1" t="s">
        <v>72</v>
      </c>
      <c r="D35" s="1" t="s">
        <v>20</v>
      </c>
      <c r="E35" s="12">
        <v>6</v>
      </c>
      <c r="F35" s="15">
        <v>150000</v>
      </c>
      <c r="G35" s="8" t="s">
        <v>96</v>
      </c>
      <c r="H35" s="8" t="s">
        <v>97</v>
      </c>
      <c r="I35" t="str">
        <f t="shared" si="5"/>
        <v>South</v>
      </c>
      <c r="J35" t="str">
        <f t="shared" si="6"/>
        <v>Tablet T8</v>
      </c>
      <c r="K35" t="str">
        <f>PROPER(TRIM(CLEAN(Table1[[#This Row],[Category]])))</f>
        <v>Mobile</v>
      </c>
      <c r="L35" t="str">
        <f t="shared" si="2"/>
        <v>Peter Obi</v>
      </c>
      <c r="M35" t="str">
        <f t="shared" si="3"/>
        <v>Femi Tech</v>
      </c>
      <c r="N35" s="16">
        <f t="shared" si="4"/>
        <v>900000</v>
      </c>
    </row>
    <row r="36" spans="1:14" x14ac:dyDescent="0.25">
      <c r="A36" s="19">
        <v>45855</v>
      </c>
      <c r="B36" s="8" t="s">
        <v>33</v>
      </c>
      <c r="C36" s="1" t="s">
        <v>294</v>
      </c>
      <c r="D36" s="1" t="s">
        <v>68</v>
      </c>
      <c r="E36" s="12">
        <v>20</v>
      </c>
      <c r="F36" s="15">
        <v>2500000</v>
      </c>
      <c r="G36" s="8" t="s">
        <v>94</v>
      </c>
      <c r="H36" s="8" t="s">
        <v>43</v>
      </c>
      <c r="I36" t="str">
        <f t="shared" si="5"/>
        <v>West</v>
      </c>
      <c r="J36" t="str">
        <f t="shared" si="6"/>
        <v>Laptop A15</v>
      </c>
      <c r="K36" t="str">
        <f>PROPER(TRIM(CLEAN(Table1[[#This Row],[Category]])))</f>
        <v>Computers</v>
      </c>
      <c r="L36" t="str">
        <f t="shared" si="2"/>
        <v>Peter Obi</v>
      </c>
      <c r="M36" t="str">
        <f t="shared" si="3"/>
        <v>Omega Wholesale</v>
      </c>
      <c r="N36" s="16">
        <f t="shared" si="4"/>
        <v>50000000</v>
      </c>
    </row>
    <row r="37" spans="1:14" x14ac:dyDescent="0.25">
      <c r="A37" s="19">
        <v>45856</v>
      </c>
      <c r="B37" s="8" t="s">
        <v>5</v>
      </c>
      <c r="C37" s="1" t="s">
        <v>98</v>
      </c>
      <c r="D37" s="1" t="s">
        <v>250</v>
      </c>
      <c r="E37" s="12">
        <v>12</v>
      </c>
      <c r="F37" s="15">
        <v>65000</v>
      </c>
      <c r="G37" s="8" t="s">
        <v>29</v>
      </c>
      <c r="H37" s="8" t="s">
        <v>99</v>
      </c>
      <c r="I37" t="str">
        <f t="shared" si="5"/>
        <v>South</v>
      </c>
      <c r="J37" t="str">
        <f t="shared" si="6"/>
        <v>Monitor M24</v>
      </c>
      <c r="K37" t="str">
        <f>PROPER(TRIM(CLEAN(Table1[[#This Row],[Category]])))</f>
        <v>Peripherals</v>
      </c>
      <c r="L37" t="str">
        <f t="shared" si="2"/>
        <v>Peter Obi</v>
      </c>
      <c r="M37" t="str">
        <f t="shared" si="3"/>
        <v>Maryam Ltd</v>
      </c>
      <c r="N37" s="16">
        <f>PRODUCT(E37,F37)</f>
        <v>780000</v>
      </c>
    </row>
    <row r="38" spans="1:14" x14ac:dyDescent="0.25">
      <c r="A38" s="19">
        <v>45857</v>
      </c>
      <c r="B38" s="8" t="s">
        <v>5</v>
      </c>
      <c r="C38" s="1" t="s">
        <v>100</v>
      </c>
      <c r="D38" s="1" t="s">
        <v>101</v>
      </c>
      <c r="E38" s="12">
        <v>4</v>
      </c>
      <c r="F38" s="15">
        <v>73740</v>
      </c>
      <c r="G38" s="8" t="s">
        <v>102</v>
      </c>
      <c r="H38" s="8" t="s">
        <v>274</v>
      </c>
      <c r="I38" t="str">
        <f t="shared" si="5"/>
        <v>South</v>
      </c>
      <c r="J38" t="str">
        <f t="shared" si="6"/>
        <v>Monitor M24</v>
      </c>
      <c r="K38" t="str">
        <f>PROPER(TRIM(CLEAN(Table1[[#This Row],[Category]])))</f>
        <v>Peripherals</v>
      </c>
      <c r="L38" t="str">
        <f t="shared" si="2"/>
        <v>Mary John</v>
      </c>
      <c r="M38" t="str">
        <f t="shared" si="3"/>
        <v>Tope &amp; Sons</v>
      </c>
      <c r="N38" s="16">
        <f t="shared" si="4"/>
        <v>294960</v>
      </c>
    </row>
    <row r="39" spans="1:14" x14ac:dyDescent="0.25">
      <c r="A39" s="19">
        <v>45858</v>
      </c>
      <c r="B39" s="8" t="s">
        <v>103</v>
      </c>
      <c r="C39" s="1" t="s">
        <v>104</v>
      </c>
      <c r="D39" s="1" t="s">
        <v>105</v>
      </c>
      <c r="E39" s="12">
        <v>18</v>
      </c>
      <c r="F39" s="15">
        <v>175000</v>
      </c>
      <c r="G39" s="8" t="s">
        <v>106</v>
      </c>
      <c r="H39" s="8" t="s">
        <v>50</v>
      </c>
      <c r="I39" t="str">
        <f t="shared" si="5"/>
        <v>East</v>
      </c>
      <c r="J39" t="str">
        <f t="shared" si="6"/>
        <v>Camera C100</v>
      </c>
      <c r="K39" t="str">
        <f>PROPER(TRIM(CLEAN(Table1[[#This Row],[Category]])))</f>
        <v>Photography</v>
      </c>
      <c r="L39" t="str">
        <f t="shared" si="2"/>
        <v>Grace Amos</v>
      </c>
      <c r="M39" t="str">
        <f t="shared" si="3"/>
        <v>Bright Solutions</v>
      </c>
      <c r="N39" s="16">
        <f t="shared" si="4"/>
        <v>3150000</v>
      </c>
    </row>
    <row r="40" spans="1:14" x14ac:dyDescent="0.25">
      <c r="A40" s="19">
        <v>45859</v>
      </c>
      <c r="B40" s="8" t="s">
        <v>107</v>
      </c>
      <c r="C40" s="1" t="s">
        <v>108</v>
      </c>
      <c r="D40" s="1" t="s">
        <v>15</v>
      </c>
      <c r="E40" s="12">
        <v>10</v>
      </c>
      <c r="F40" s="15">
        <v>180000</v>
      </c>
      <c r="G40" s="8" t="s">
        <v>109</v>
      </c>
      <c r="H40" s="8" t="s">
        <v>172</v>
      </c>
      <c r="I40" t="str">
        <f t="shared" si="5"/>
        <v>North</v>
      </c>
      <c r="J40" t="str">
        <f t="shared" si="6"/>
        <v>Phone X12</v>
      </c>
      <c r="K40" t="str">
        <f>PROPER(TRIM(CLEAN(Table1[[#This Row],[Category]])))</f>
        <v>Mobile</v>
      </c>
      <c r="L40" t="str">
        <f t="shared" si="2"/>
        <v>Mary John</v>
      </c>
      <c r="M40" t="str">
        <f t="shared" si="3"/>
        <v>Chika Mart</v>
      </c>
      <c r="N40" s="16">
        <f t="shared" si="4"/>
        <v>1800000</v>
      </c>
    </row>
    <row r="41" spans="1:14" x14ac:dyDescent="0.25">
      <c r="A41" s="19">
        <v>45860</v>
      </c>
      <c r="B41" s="8" t="s">
        <v>71</v>
      </c>
      <c r="C41" s="34" t="s">
        <v>98</v>
      </c>
      <c r="D41" s="1" t="s">
        <v>85</v>
      </c>
      <c r="E41" s="12">
        <v>10</v>
      </c>
      <c r="F41" s="15">
        <v>65000</v>
      </c>
      <c r="G41" s="8" t="s">
        <v>230</v>
      </c>
      <c r="H41" s="8" t="s">
        <v>194</v>
      </c>
      <c r="I41" t="str">
        <f t="shared" si="5"/>
        <v>East</v>
      </c>
      <c r="J41" s="33" t="str">
        <f t="shared" si="6"/>
        <v>Monitor M24</v>
      </c>
      <c r="K41" t="str">
        <f>PROPER(TRIM(CLEAN(Table1[[#This Row],[Category]])))</f>
        <v>Peripherals</v>
      </c>
      <c r="L41" t="str">
        <f t="shared" si="2"/>
        <v>Aba Joel</v>
      </c>
      <c r="M41" t="str">
        <f t="shared" si="3"/>
        <v>Musa Enterprises</v>
      </c>
      <c r="N41" s="16">
        <f t="shared" si="4"/>
        <v>650000</v>
      </c>
    </row>
    <row r="42" spans="1:14" x14ac:dyDescent="0.25">
      <c r="A42" s="19">
        <v>45861</v>
      </c>
      <c r="B42" s="8" t="s">
        <v>110</v>
      </c>
      <c r="C42" s="1" t="s">
        <v>90</v>
      </c>
      <c r="D42" s="1" t="s">
        <v>15</v>
      </c>
      <c r="E42" s="12">
        <v>3</v>
      </c>
      <c r="F42" s="15">
        <v>150000</v>
      </c>
      <c r="G42" s="8" t="s">
        <v>111</v>
      </c>
      <c r="H42" s="8" t="s">
        <v>112</v>
      </c>
      <c r="I42" t="str">
        <f t="shared" si="5"/>
        <v>North</v>
      </c>
      <c r="J42" t="str">
        <f t="shared" si="6"/>
        <v>Tablet T8</v>
      </c>
      <c r="K42" t="str">
        <f>PROPER(TRIM(CLEAN(Table1[[#This Row],[Category]])))</f>
        <v>Mobile</v>
      </c>
      <c r="L42" t="str">
        <f t="shared" si="2"/>
        <v>Mary John</v>
      </c>
      <c r="M42" t="str">
        <f t="shared" si="3"/>
        <v>Tope &amp; Sons</v>
      </c>
      <c r="N42" s="16">
        <f t="shared" si="4"/>
        <v>450000</v>
      </c>
    </row>
    <row r="43" spans="1:14" x14ac:dyDescent="0.25">
      <c r="A43" s="19">
        <v>45862</v>
      </c>
      <c r="B43" s="8" t="s">
        <v>113</v>
      </c>
      <c r="C43" s="1" t="s">
        <v>114</v>
      </c>
      <c r="D43" s="1" t="s">
        <v>15</v>
      </c>
      <c r="E43" s="12">
        <v>8</v>
      </c>
      <c r="F43" s="15">
        <v>180000</v>
      </c>
      <c r="G43" s="8" t="s">
        <v>44</v>
      </c>
      <c r="H43" s="8" t="s">
        <v>43</v>
      </c>
      <c r="I43" t="str">
        <f t="shared" si="5"/>
        <v>South</v>
      </c>
      <c r="J43" t="str">
        <f t="shared" si="6"/>
        <v>Phone X12</v>
      </c>
      <c r="K43" t="str">
        <f>PROPER(TRIM(CLEAN(Table1[[#This Row],[Category]])))</f>
        <v>Mobile</v>
      </c>
      <c r="L43" t="str">
        <f t="shared" si="2"/>
        <v>Aisha Bello</v>
      </c>
      <c r="M43" t="str">
        <f t="shared" si="3"/>
        <v>Omega Wholesale</v>
      </c>
      <c r="N43" s="16">
        <f t="shared" si="4"/>
        <v>1440000</v>
      </c>
    </row>
    <row r="44" spans="1:14" x14ac:dyDescent="0.25">
      <c r="A44" s="19">
        <v>45863</v>
      </c>
      <c r="B44" s="8" t="s">
        <v>37</v>
      </c>
      <c r="C44" s="1" t="s">
        <v>115</v>
      </c>
      <c r="D44" s="1" t="s">
        <v>249</v>
      </c>
      <c r="E44" s="12">
        <v>3</v>
      </c>
      <c r="F44" s="15">
        <v>250000</v>
      </c>
      <c r="G44" s="8" t="s">
        <v>116</v>
      </c>
      <c r="H44" s="8" t="s">
        <v>26</v>
      </c>
      <c r="I44" t="str">
        <f t="shared" si="5"/>
        <v>South</v>
      </c>
      <c r="J44" t="str">
        <f t="shared" si="6"/>
        <v>Laptop A15</v>
      </c>
      <c r="K44" t="str">
        <f>PROPER(TRIM(CLEAN(Table1[[#This Row],[Category]])))</f>
        <v>Computers</v>
      </c>
      <c r="L44" t="str">
        <f t="shared" si="2"/>
        <v>Mary John</v>
      </c>
      <c r="M44" t="str">
        <f t="shared" si="3"/>
        <v>Chika Mart</v>
      </c>
      <c r="N44" s="16">
        <f t="shared" si="4"/>
        <v>750000</v>
      </c>
    </row>
    <row r="45" spans="1:14" x14ac:dyDescent="0.25">
      <c r="A45" s="19">
        <v>45864</v>
      </c>
      <c r="B45" s="8" t="s">
        <v>117</v>
      </c>
      <c r="C45" s="1" t="s">
        <v>118</v>
      </c>
      <c r="D45" s="1" t="s">
        <v>119</v>
      </c>
      <c r="E45" s="12">
        <v>18</v>
      </c>
      <c r="F45" s="15">
        <v>85000</v>
      </c>
      <c r="G45" s="8" t="s">
        <v>120</v>
      </c>
      <c r="H45" s="8" t="s">
        <v>95</v>
      </c>
      <c r="I45" t="str">
        <f t="shared" si="5"/>
        <v>East</v>
      </c>
      <c r="J45" t="str">
        <f t="shared" si="6"/>
        <v>Speaker S10</v>
      </c>
      <c r="K45" t="str">
        <f>PROPER(TRIM(CLEAN(Table1[[#This Row],[Category]])))</f>
        <v>Audio</v>
      </c>
      <c r="L45" t="str">
        <f t="shared" si="2"/>
        <v>Ifeanyi Okafor</v>
      </c>
      <c r="M45" t="str">
        <f t="shared" si="3"/>
        <v>Alpha Retailers</v>
      </c>
      <c r="N45" s="16">
        <f t="shared" si="4"/>
        <v>1530000</v>
      </c>
    </row>
    <row r="46" spans="1:14" x14ac:dyDescent="0.25">
      <c r="A46" s="19">
        <v>45865</v>
      </c>
      <c r="B46" s="8" t="s">
        <v>121</v>
      </c>
      <c r="C46" s="1" t="s">
        <v>34</v>
      </c>
      <c r="D46" s="1" t="s">
        <v>20</v>
      </c>
      <c r="E46" s="12">
        <v>9</v>
      </c>
      <c r="F46" s="15">
        <v>150000</v>
      </c>
      <c r="G46" s="8" t="s">
        <v>122</v>
      </c>
      <c r="H46" s="8" t="s">
        <v>275</v>
      </c>
      <c r="I46" t="str">
        <f t="shared" si="5"/>
        <v>West</v>
      </c>
      <c r="J46" t="str">
        <f t="shared" si="6"/>
        <v>Tablet T8</v>
      </c>
      <c r="K46" t="str">
        <f>PROPER(TRIM(CLEAN(Table1[[#This Row],[Category]])))</f>
        <v>Mobile</v>
      </c>
      <c r="L46" t="str">
        <f t="shared" si="2"/>
        <v>Mary John</v>
      </c>
      <c r="M46" t="str">
        <f t="shared" si="3"/>
        <v>Kelvin Tech</v>
      </c>
      <c r="N46" s="16">
        <f t="shared" si="4"/>
        <v>1350000</v>
      </c>
    </row>
    <row r="47" spans="1:14" x14ac:dyDescent="0.25">
      <c r="A47" s="19">
        <v>45866</v>
      </c>
      <c r="B47" s="8" t="s">
        <v>123</v>
      </c>
      <c r="C47" s="1" t="s">
        <v>124</v>
      </c>
      <c r="D47" s="1" t="s">
        <v>251</v>
      </c>
      <c r="E47" s="12">
        <v>18</v>
      </c>
      <c r="F47" s="15">
        <v>150000</v>
      </c>
      <c r="G47" s="8" t="s">
        <v>125</v>
      </c>
      <c r="H47" s="8" t="s">
        <v>276</v>
      </c>
      <c r="I47" t="str">
        <f t="shared" si="5"/>
        <v>East</v>
      </c>
      <c r="J47" t="str">
        <f t="shared" si="6"/>
        <v>Tablet T8</v>
      </c>
      <c r="K47" t="str">
        <f>PROPER(TRIM(CLEAN(Table1[[#This Row],[Category]])))</f>
        <v>Mobile</v>
      </c>
      <c r="L47" t="str">
        <f t="shared" si="2"/>
        <v>Fola Balogun</v>
      </c>
      <c r="M47" t="str">
        <f t="shared" si="3"/>
        <v>Alpha Retailers</v>
      </c>
      <c r="N47" s="16">
        <f t="shared" si="4"/>
        <v>2700000</v>
      </c>
    </row>
    <row r="48" spans="1:14" x14ac:dyDescent="0.25">
      <c r="A48" s="19">
        <v>45867</v>
      </c>
      <c r="B48" s="8" t="s">
        <v>126</v>
      </c>
      <c r="C48" s="1" t="s">
        <v>72</v>
      </c>
      <c r="D48" s="1" t="s">
        <v>38</v>
      </c>
      <c r="E48" s="12">
        <v>11</v>
      </c>
      <c r="F48" s="15">
        <v>150000</v>
      </c>
      <c r="G48" s="8" t="s">
        <v>127</v>
      </c>
      <c r="H48" s="8" t="s">
        <v>277</v>
      </c>
      <c r="I48" t="str">
        <f t="shared" si="5"/>
        <v>West</v>
      </c>
      <c r="J48" t="str">
        <f t="shared" si="6"/>
        <v>Tablet T8</v>
      </c>
      <c r="K48" t="str">
        <f>PROPER(TRIM(CLEAN(Table1[[#This Row],[Category]])))</f>
        <v>Mobile</v>
      </c>
      <c r="L48" t="str">
        <f t="shared" si="2"/>
        <v>Mary John</v>
      </c>
      <c r="M48" t="str">
        <f t="shared" si="3"/>
        <v>Chika Mart</v>
      </c>
      <c r="N48" s="16">
        <f t="shared" si="4"/>
        <v>1650000</v>
      </c>
    </row>
    <row r="49" spans="1:14" x14ac:dyDescent="0.25">
      <c r="A49" s="19">
        <v>45868</v>
      </c>
      <c r="B49" s="8" t="s">
        <v>5</v>
      </c>
      <c r="C49" s="1" t="s">
        <v>128</v>
      </c>
      <c r="D49" s="1" t="s">
        <v>87</v>
      </c>
      <c r="E49" s="12">
        <v>4</v>
      </c>
      <c r="F49" s="15">
        <v>350000</v>
      </c>
      <c r="G49" s="8" t="s">
        <v>83</v>
      </c>
      <c r="H49" s="8" t="s">
        <v>278</v>
      </c>
      <c r="I49" t="str">
        <f t="shared" si="5"/>
        <v>South</v>
      </c>
      <c r="J49" t="str">
        <f t="shared" si="6"/>
        <v>Tv 43Q</v>
      </c>
      <c r="K49" t="str">
        <f>PROPER(TRIM(CLEAN(Table1[[#This Row],[Category]])))</f>
        <v>Electronics</v>
      </c>
      <c r="L49" t="str">
        <f t="shared" si="2"/>
        <v>Grace Amos</v>
      </c>
      <c r="M49" t="str">
        <f t="shared" si="3"/>
        <v>Jide Superstores</v>
      </c>
      <c r="N49" s="16">
        <f t="shared" si="4"/>
        <v>1400000</v>
      </c>
    </row>
    <row r="50" spans="1:14" x14ac:dyDescent="0.25">
      <c r="A50" s="19">
        <v>45869</v>
      </c>
      <c r="B50" s="8" t="s">
        <v>113</v>
      </c>
      <c r="C50" s="1" t="s">
        <v>58</v>
      </c>
      <c r="D50" s="1" t="s">
        <v>251</v>
      </c>
      <c r="E50" s="12">
        <v>19</v>
      </c>
      <c r="F50" s="15">
        <v>150000</v>
      </c>
      <c r="G50" s="8" t="s">
        <v>229</v>
      </c>
      <c r="H50" s="8" t="s">
        <v>129</v>
      </c>
      <c r="I50" t="str">
        <f t="shared" si="5"/>
        <v>South</v>
      </c>
      <c r="J50" t="str">
        <f t="shared" si="6"/>
        <v>Tablet T8</v>
      </c>
      <c r="K50" t="str">
        <f>PROPER(TRIM(CLEAN(Table1[[#This Row],[Category]])))</f>
        <v>Mobile</v>
      </c>
      <c r="L50" t="str">
        <f t="shared" si="2"/>
        <v>Praise Odunayo</v>
      </c>
      <c r="M50" t="str">
        <f t="shared" si="3"/>
        <v>Kelvin Tech</v>
      </c>
      <c r="N50" s="16">
        <f t="shared" si="4"/>
        <v>2850000</v>
      </c>
    </row>
    <row r="51" spans="1:14" x14ac:dyDescent="0.25">
      <c r="A51" s="19">
        <v>45870</v>
      </c>
      <c r="B51" s="8" t="s">
        <v>30</v>
      </c>
      <c r="C51" s="1" t="s">
        <v>130</v>
      </c>
      <c r="D51" s="1" t="s">
        <v>131</v>
      </c>
      <c r="E51" s="12">
        <v>7</v>
      </c>
      <c r="F51" s="15">
        <v>85000</v>
      </c>
      <c r="G51" s="8" t="s">
        <v>132</v>
      </c>
      <c r="H51" s="8" t="s">
        <v>133</v>
      </c>
      <c r="I51" t="str">
        <f t="shared" si="5"/>
        <v>East</v>
      </c>
      <c r="J51" t="str">
        <f t="shared" si="6"/>
        <v>Speaker S10</v>
      </c>
      <c r="K51" t="str">
        <f>PROPER(TRIM(CLEAN(Table1[[#This Row],[Category]])))</f>
        <v>Audio</v>
      </c>
      <c r="L51" t="str">
        <f t="shared" si="2"/>
        <v>Aisha Bello</v>
      </c>
      <c r="M51" t="str">
        <f t="shared" si="3"/>
        <v>Bright Solutions</v>
      </c>
      <c r="N51" s="16">
        <f t="shared" si="4"/>
        <v>595000</v>
      </c>
    </row>
    <row r="52" spans="1:14" x14ac:dyDescent="0.25">
      <c r="A52" s="19">
        <v>45871</v>
      </c>
      <c r="B52" s="8" t="s">
        <v>134</v>
      </c>
      <c r="C52" s="1" t="s">
        <v>135</v>
      </c>
      <c r="D52" s="1" t="s">
        <v>136</v>
      </c>
      <c r="E52" s="12">
        <v>13</v>
      </c>
      <c r="F52" s="15">
        <v>57912</v>
      </c>
      <c r="G52" s="8" t="s">
        <v>137</v>
      </c>
      <c r="H52" s="8" t="s">
        <v>138</v>
      </c>
      <c r="I52" t="str">
        <f t="shared" si="5"/>
        <v>West</v>
      </c>
      <c r="J52" t="str">
        <f t="shared" si="6"/>
        <v>Monitor M24</v>
      </c>
      <c r="K52" t="str">
        <f>PROPER(TRIM(CLEAN(Table1[[#This Row],[Category]])))</f>
        <v>Peripherals</v>
      </c>
      <c r="L52" t="str">
        <f t="shared" si="2"/>
        <v>Fola Balogun</v>
      </c>
      <c r="M52" t="str">
        <f t="shared" si="3"/>
        <v>Femi Tech</v>
      </c>
      <c r="N52" s="16">
        <f t="shared" si="4"/>
        <v>752856</v>
      </c>
    </row>
    <row r="53" spans="1:14" x14ac:dyDescent="0.25">
      <c r="A53" s="19">
        <v>45872</v>
      </c>
      <c r="B53" s="8" t="s">
        <v>71</v>
      </c>
      <c r="C53" s="1" t="s">
        <v>84</v>
      </c>
      <c r="D53" s="1" t="s">
        <v>252</v>
      </c>
      <c r="E53" s="12">
        <v>18</v>
      </c>
      <c r="F53" s="15">
        <v>650000</v>
      </c>
      <c r="G53" s="8" t="s">
        <v>139</v>
      </c>
      <c r="H53" s="8" t="s">
        <v>140</v>
      </c>
      <c r="I53" t="str">
        <f t="shared" si="5"/>
        <v>East</v>
      </c>
      <c r="J53" t="str">
        <f t="shared" si="6"/>
        <v>Monitor M24</v>
      </c>
      <c r="K53" t="str">
        <f>PROPER(TRIM(CLEAN(Table1[[#This Row],[Category]])))</f>
        <v>Peripherals</v>
      </c>
      <c r="L53" t="str">
        <f t="shared" si="2"/>
        <v>Grace Amos</v>
      </c>
      <c r="M53" t="str">
        <f t="shared" si="3"/>
        <v>Jide Superstores</v>
      </c>
      <c r="N53" s="16">
        <f t="shared" si="4"/>
        <v>11700000</v>
      </c>
    </row>
    <row r="54" spans="1:14" x14ac:dyDescent="0.25">
      <c r="A54" s="19">
        <v>45873</v>
      </c>
      <c r="B54" s="8" t="s">
        <v>141</v>
      </c>
      <c r="C54" s="1" t="s">
        <v>52</v>
      </c>
      <c r="D54" s="1" t="s">
        <v>250</v>
      </c>
      <c r="E54" s="12">
        <v>5</v>
      </c>
      <c r="F54" s="15">
        <v>65000</v>
      </c>
      <c r="G54" s="8" t="s">
        <v>156</v>
      </c>
      <c r="H54" s="8" t="s">
        <v>279</v>
      </c>
      <c r="I54" t="str">
        <f t="shared" si="5"/>
        <v>West</v>
      </c>
      <c r="J54" t="str">
        <f t="shared" si="6"/>
        <v>Monitor M24</v>
      </c>
      <c r="K54" t="str">
        <f>PROPER(TRIM(CLEAN(Table1[[#This Row],[Category]])))</f>
        <v>Peripherals</v>
      </c>
      <c r="L54" t="str">
        <f t="shared" si="2"/>
        <v>Aisha Bello</v>
      </c>
      <c r="M54" t="str">
        <f t="shared" si="3"/>
        <v>Kelvin Tech</v>
      </c>
      <c r="N54" s="16">
        <f t="shared" si="4"/>
        <v>325000</v>
      </c>
    </row>
    <row r="55" spans="1:14" x14ac:dyDescent="0.25">
      <c r="A55" s="19">
        <v>45874</v>
      </c>
      <c r="B55" s="8" t="s">
        <v>5</v>
      </c>
      <c r="C55" s="1" t="s">
        <v>128</v>
      </c>
      <c r="D55" s="1" t="s">
        <v>24</v>
      </c>
      <c r="E55" s="12">
        <v>13</v>
      </c>
      <c r="F55" s="15">
        <v>350000</v>
      </c>
      <c r="G55" s="8" t="s">
        <v>65</v>
      </c>
      <c r="H55" s="8" t="s">
        <v>142</v>
      </c>
      <c r="I55" t="str">
        <f t="shared" si="5"/>
        <v>South</v>
      </c>
      <c r="J55" t="str">
        <f t="shared" si="6"/>
        <v>Tv 43Q</v>
      </c>
      <c r="K55" t="str">
        <f>PROPER(TRIM(CLEAN(Table1[[#This Row],[Category]])))</f>
        <v>Electronics</v>
      </c>
      <c r="L55" t="str">
        <f t="shared" si="2"/>
        <v>Chinedu Nwosu</v>
      </c>
      <c r="M55" t="str">
        <f t="shared" si="3"/>
        <v>Femi Tech</v>
      </c>
      <c r="N55" s="16">
        <f t="shared" si="4"/>
        <v>4550000</v>
      </c>
    </row>
    <row r="56" spans="1:14" x14ac:dyDescent="0.25">
      <c r="A56" s="19">
        <v>45875</v>
      </c>
      <c r="B56" s="8" t="s">
        <v>143</v>
      </c>
      <c r="C56" s="1" t="s">
        <v>144</v>
      </c>
      <c r="D56" s="1" t="s">
        <v>87</v>
      </c>
      <c r="E56" s="12">
        <v>19</v>
      </c>
      <c r="F56" s="15">
        <v>350000</v>
      </c>
      <c r="G56" s="8" t="s">
        <v>17</v>
      </c>
      <c r="H56" s="8" t="s">
        <v>241</v>
      </c>
      <c r="I56" t="str">
        <f t="shared" si="5"/>
        <v>West</v>
      </c>
      <c r="J56" t="str">
        <f t="shared" si="6"/>
        <v>Tv 43Q</v>
      </c>
      <c r="K56" t="str">
        <f>PROPER(TRIM(CLEAN(Table1[[#This Row],[Category]])))</f>
        <v>Electronics</v>
      </c>
      <c r="L56" t="str">
        <f t="shared" si="2"/>
        <v>Ifeanyi Okafor</v>
      </c>
      <c r="M56" t="str">
        <f t="shared" si="3"/>
        <v>Jide Superstores</v>
      </c>
      <c r="N56" s="16">
        <f t="shared" si="4"/>
        <v>6650000</v>
      </c>
    </row>
    <row r="57" spans="1:14" x14ac:dyDescent="0.25">
      <c r="A57" s="19">
        <v>45876</v>
      </c>
      <c r="B57" s="8" t="s">
        <v>74</v>
      </c>
      <c r="C57" s="1" t="s">
        <v>145</v>
      </c>
      <c r="D57" s="1" t="s">
        <v>19</v>
      </c>
      <c r="E57" s="12">
        <v>9</v>
      </c>
      <c r="F57" s="15">
        <v>180000</v>
      </c>
      <c r="G57" s="8" t="s">
        <v>146</v>
      </c>
      <c r="H57" s="8" t="s">
        <v>280</v>
      </c>
      <c r="I57" t="str">
        <f t="shared" si="5"/>
        <v>North</v>
      </c>
      <c r="J57" t="str">
        <f t="shared" si="6"/>
        <v>Phone X12</v>
      </c>
      <c r="K57" t="str">
        <f>PROPER(TRIM(CLEAN(Table1[[#This Row],[Category]])))</f>
        <v>Mobile</v>
      </c>
      <c r="L57" t="str">
        <f t="shared" si="2"/>
        <v>Aisha Bello</v>
      </c>
      <c r="M57" t="str">
        <f t="shared" si="3"/>
        <v>Adewale Stores</v>
      </c>
      <c r="N57" s="16">
        <f t="shared" si="4"/>
        <v>1620000</v>
      </c>
    </row>
    <row r="58" spans="1:14" x14ac:dyDescent="0.25">
      <c r="A58" s="19">
        <v>45877</v>
      </c>
      <c r="B58" s="8" t="s">
        <v>51</v>
      </c>
      <c r="C58" s="1" t="s">
        <v>147</v>
      </c>
      <c r="D58" s="1" t="s">
        <v>148</v>
      </c>
      <c r="E58" s="12">
        <v>10</v>
      </c>
      <c r="F58" s="15">
        <v>150000</v>
      </c>
      <c r="G58" s="8" t="s">
        <v>47</v>
      </c>
      <c r="H58" s="8" t="s">
        <v>281</v>
      </c>
      <c r="I58" t="str">
        <f t="shared" si="5"/>
        <v>East</v>
      </c>
      <c r="J58" t="str">
        <f t="shared" si="6"/>
        <v>Tablet T8</v>
      </c>
      <c r="K58" t="str">
        <f>PROPER(TRIM(CLEAN(Table1[[#This Row],[Category]])))</f>
        <v>Mobile</v>
      </c>
      <c r="L58" t="str">
        <f t="shared" si="2"/>
        <v>Chinedu Nwosu</v>
      </c>
      <c r="M58" t="str">
        <f t="shared" si="3"/>
        <v>Maryam Ltd</v>
      </c>
      <c r="N58" s="16">
        <f t="shared" si="4"/>
        <v>1500000</v>
      </c>
    </row>
    <row r="59" spans="1:14" x14ac:dyDescent="0.25">
      <c r="A59" s="19">
        <v>45878</v>
      </c>
      <c r="B59" s="8" t="s">
        <v>149</v>
      </c>
      <c r="C59" s="1" t="s">
        <v>130</v>
      </c>
      <c r="D59" s="1" t="s">
        <v>131</v>
      </c>
      <c r="E59" s="12">
        <v>10</v>
      </c>
      <c r="F59" s="15">
        <v>85000</v>
      </c>
      <c r="G59" s="8" t="s">
        <v>146</v>
      </c>
      <c r="H59" s="8" t="s">
        <v>150</v>
      </c>
      <c r="I59" t="str">
        <f t="shared" si="5"/>
        <v>East</v>
      </c>
      <c r="J59" t="str">
        <f t="shared" si="6"/>
        <v>Speaker S10</v>
      </c>
      <c r="K59" t="str">
        <f>PROPER(TRIM(CLEAN(Table1[[#This Row],[Category]])))</f>
        <v>Audio</v>
      </c>
      <c r="L59" t="str">
        <f t="shared" si="2"/>
        <v>Aisha Bello</v>
      </c>
      <c r="M59" t="str">
        <f t="shared" si="3"/>
        <v>Kelvin Tech</v>
      </c>
      <c r="N59" s="16">
        <f t="shared" si="4"/>
        <v>850000</v>
      </c>
    </row>
    <row r="60" spans="1:14" x14ac:dyDescent="0.25">
      <c r="A60" s="19">
        <v>45879</v>
      </c>
      <c r="B60" s="8" t="s">
        <v>5</v>
      </c>
      <c r="C60" s="1" t="s">
        <v>294</v>
      </c>
      <c r="D60" s="1" t="s">
        <v>253</v>
      </c>
      <c r="E60" s="12">
        <v>5</v>
      </c>
      <c r="F60" s="15">
        <v>25000</v>
      </c>
      <c r="G60" s="8" t="s">
        <v>151</v>
      </c>
      <c r="H60" s="8" t="s">
        <v>152</v>
      </c>
      <c r="I60" t="str">
        <f t="shared" si="5"/>
        <v>South</v>
      </c>
      <c r="J60" t="str">
        <f t="shared" si="6"/>
        <v>Laptop A15</v>
      </c>
      <c r="K60" t="str">
        <f>PROPER(TRIM(CLEAN(Table1[[#This Row],[Category]])))</f>
        <v>Computers</v>
      </c>
      <c r="L60" t="str">
        <f t="shared" si="2"/>
        <v>Aisha Bello</v>
      </c>
      <c r="M60" t="str">
        <f t="shared" si="3"/>
        <v>Zainab Global</v>
      </c>
      <c r="N60" s="16">
        <f t="shared" si="4"/>
        <v>125000</v>
      </c>
    </row>
    <row r="61" spans="1:14" x14ac:dyDescent="0.25">
      <c r="A61" s="19">
        <v>45880</v>
      </c>
      <c r="B61" s="8" t="s">
        <v>153</v>
      </c>
      <c r="C61" s="1" t="s">
        <v>90</v>
      </c>
      <c r="D61" s="1" t="s">
        <v>148</v>
      </c>
      <c r="E61" s="12">
        <v>1</v>
      </c>
      <c r="F61" s="15">
        <v>150000</v>
      </c>
      <c r="G61" s="8" t="s">
        <v>69</v>
      </c>
      <c r="H61" s="8" t="s">
        <v>12</v>
      </c>
      <c r="I61" t="str">
        <f t="shared" si="5"/>
        <v>East</v>
      </c>
      <c r="J61" t="str">
        <f t="shared" si="6"/>
        <v>Tablet T8</v>
      </c>
      <c r="K61" t="str">
        <f>PROPER(TRIM(CLEAN(Table1[[#This Row],[Category]])))</f>
        <v>Mobile</v>
      </c>
      <c r="L61" t="str">
        <f t="shared" si="2"/>
        <v>Grace Amos</v>
      </c>
      <c r="M61" t="str">
        <f t="shared" si="3"/>
        <v>Musa Enterprises</v>
      </c>
      <c r="N61" s="16">
        <f t="shared" si="4"/>
        <v>150000</v>
      </c>
    </row>
    <row r="62" spans="1:14" x14ac:dyDescent="0.25">
      <c r="A62" s="19">
        <v>45881</v>
      </c>
      <c r="B62" s="8" t="s">
        <v>154</v>
      </c>
      <c r="C62" s="1" t="s">
        <v>155</v>
      </c>
      <c r="D62" s="1" t="s">
        <v>19</v>
      </c>
      <c r="E62" s="12">
        <v>20</v>
      </c>
      <c r="F62" s="15">
        <v>150000</v>
      </c>
      <c r="G62" s="8" t="s">
        <v>156</v>
      </c>
      <c r="H62" s="8" t="s">
        <v>157</v>
      </c>
      <c r="I62" t="str">
        <f t="shared" si="5"/>
        <v>South</v>
      </c>
      <c r="J62" t="str">
        <f t="shared" si="6"/>
        <v>Tablet T8</v>
      </c>
      <c r="K62" t="str">
        <f>PROPER(TRIM(CLEAN(Table1[[#This Row],[Category]])))</f>
        <v>Mobile</v>
      </c>
      <c r="L62" t="str">
        <f t="shared" si="2"/>
        <v>Aisha Bello</v>
      </c>
      <c r="M62" t="str">
        <f t="shared" si="3"/>
        <v>Emeka Traders</v>
      </c>
      <c r="N62" s="16">
        <f t="shared" si="4"/>
        <v>3000000</v>
      </c>
    </row>
    <row r="63" spans="1:14" x14ac:dyDescent="0.25">
      <c r="A63" s="19">
        <v>45882</v>
      </c>
      <c r="B63" s="8" t="s">
        <v>154</v>
      </c>
      <c r="C63" s="1" t="s">
        <v>158</v>
      </c>
      <c r="D63" s="1" t="s">
        <v>298</v>
      </c>
      <c r="E63" s="12">
        <v>11</v>
      </c>
      <c r="F63" s="15">
        <v>350000</v>
      </c>
      <c r="G63" s="8" t="s">
        <v>159</v>
      </c>
      <c r="H63" s="8" t="s">
        <v>160</v>
      </c>
      <c r="I63" t="str">
        <f t="shared" si="5"/>
        <v>South</v>
      </c>
      <c r="J63" t="str">
        <f t="shared" si="6"/>
        <v>Tv 43Q</v>
      </c>
      <c r="K63" t="str">
        <f>PROPER(TRIM(CLEAN(Table1[[#This Row],[Category]])))</f>
        <v>Electronics</v>
      </c>
      <c r="L63" t="str">
        <f t="shared" si="2"/>
        <v>Chinedu Nwosu</v>
      </c>
      <c r="M63" t="str">
        <f t="shared" si="3"/>
        <v>Tola Ventures</v>
      </c>
      <c r="N63" s="16">
        <f t="shared" si="4"/>
        <v>3850000</v>
      </c>
    </row>
    <row r="64" spans="1:14" x14ac:dyDescent="0.25">
      <c r="A64" s="19">
        <v>45883</v>
      </c>
      <c r="B64" s="8" t="s">
        <v>8</v>
      </c>
      <c r="C64" s="1" t="s">
        <v>67</v>
      </c>
      <c r="D64" s="1" t="s">
        <v>68</v>
      </c>
      <c r="E64" s="12">
        <v>14</v>
      </c>
      <c r="F64" s="15">
        <v>250000</v>
      </c>
      <c r="G64" s="8" t="s">
        <v>161</v>
      </c>
      <c r="H64" s="8" t="s">
        <v>162</v>
      </c>
      <c r="I64" t="str">
        <f t="shared" si="5"/>
        <v>East</v>
      </c>
      <c r="J64" t="str">
        <f t="shared" si="6"/>
        <v>Laptop A15</v>
      </c>
      <c r="K64" t="str">
        <f>PROPER(TRIM(CLEAN(Table1[[#This Row],[Category]])))</f>
        <v>Computers</v>
      </c>
      <c r="L64" t="str">
        <f t="shared" si="2"/>
        <v>Chinedu Nwosu</v>
      </c>
      <c r="M64" t="str">
        <f t="shared" si="3"/>
        <v>Chika Mart</v>
      </c>
      <c r="N64" s="16">
        <f t="shared" si="4"/>
        <v>3500000</v>
      </c>
    </row>
    <row r="65" spans="1:14" x14ac:dyDescent="0.25">
      <c r="A65" s="19">
        <v>45884</v>
      </c>
      <c r="B65" s="8" t="s">
        <v>18</v>
      </c>
      <c r="C65" s="1" t="s">
        <v>58</v>
      </c>
      <c r="D65" s="1" t="s">
        <v>15</v>
      </c>
      <c r="E65" s="12">
        <v>3</v>
      </c>
      <c r="F65" s="15">
        <v>150000</v>
      </c>
      <c r="G65" s="8" t="s">
        <v>42</v>
      </c>
      <c r="H65" s="8" t="s">
        <v>7</v>
      </c>
      <c r="I65" t="str">
        <f t="shared" si="5"/>
        <v>West</v>
      </c>
      <c r="J65" t="str">
        <f t="shared" si="6"/>
        <v>Tablet T8</v>
      </c>
      <c r="K65" t="str">
        <f>PROPER(TRIM(CLEAN(Table1[[#This Row],[Category]])))</f>
        <v>Mobile</v>
      </c>
      <c r="L65" t="str">
        <f t="shared" si="2"/>
        <v>Aisha Bello</v>
      </c>
      <c r="M65" t="str">
        <f t="shared" si="3"/>
        <v>Bright Solutions</v>
      </c>
      <c r="N65" s="16">
        <f t="shared" si="4"/>
        <v>450000</v>
      </c>
    </row>
    <row r="66" spans="1:14" x14ac:dyDescent="0.25">
      <c r="A66" s="19">
        <v>45885</v>
      </c>
      <c r="B66" s="8" t="s">
        <v>153</v>
      </c>
      <c r="C66" s="1" t="s">
        <v>163</v>
      </c>
      <c r="D66" s="1" t="s">
        <v>119</v>
      </c>
      <c r="E66" s="12">
        <v>6</v>
      </c>
      <c r="F66" s="15">
        <v>85000</v>
      </c>
      <c r="G66" s="8" t="s">
        <v>164</v>
      </c>
      <c r="H66" s="8" t="s">
        <v>165</v>
      </c>
      <c r="I66" t="str">
        <f t="shared" ref="I66:I101" si="7">CLEAN(TRIM(PROPER(B66)))</f>
        <v>East</v>
      </c>
      <c r="J66" t="str">
        <f t="shared" ref="J66:J101" si="8">PROPER(CLEAN(TRIM(C66)))</f>
        <v>Speaker S10</v>
      </c>
      <c r="K66" t="str">
        <f>PROPER(TRIM(CLEAN(Table1[[#This Row],[Category]])))</f>
        <v>Audio</v>
      </c>
      <c r="L66" t="str">
        <f t="shared" si="2"/>
        <v>Fola Balogun</v>
      </c>
      <c r="M66" t="str">
        <f t="shared" si="3"/>
        <v>Emeka Traders</v>
      </c>
      <c r="N66" s="16">
        <f t="shared" si="4"/>
        <v>510000</v>
      </c>
    </row>
    <row r="67" spans="1:14" x14ac:dyDescent="0.25">
      <c r="A67" s="19">
        <v>45886</v>
      </c>
      <c r="B67" s="8" t="s">
        <v>33</v>
      </c>
      <c r="C67" s="1" t="s">
        <v>158</v>
      </c>
      <c r="D67" s="1" t="s">
        <v>10</v>
      </c>
      <c r="E67" s="12">
        <v>15</v>
      </c>
      <c r="F67" s="15">
        <v>350000</v>
      </c>
      <c r="G67" s="8" t="s">
        <v>166</v>
      </c>
      <c r="H67" s="8" t="s">
        <v>289</v>
      </c>
      <c r="I67" t="str">
        <f t="shared" si="7"/>
        <v>West</v>
      </c>
      <c r="J67" t="str">
        <f t="shared" si="8"/>
        <v>Tv 43Q</v>
      </c>
      <c r="K67" t="str">
        <f>PROPER(TRIM(CLEAN(Table1[[#This Row],[Category]])))</f>
        <v>Electronics</v>
      </c>
      <c r="L67" t="str">
        <f t="shared" ref="L67:L101" si="9">PROPER(TRIM(CLEAN(G67)))</f>
        <v>Chinedu Nwosu</v>
      </c>
      <c r="M67" t="str">
        <f t="shared" ref="M67:M101" si="10">PROPER(TRIM(CLEAN(H67)))</f>
        <v>Tola Ventures</v>
      </c>
      <c r="N67" s="16">
        <f t="shared" ref="N67:N101" si="11">PRODUCT(E67,F67)</f>
        <v>5250000</v>
      </c>
    </row>
    <row r="68" spans="1:14" x14ac:dyDescent="0.25">
      <c r="A68" s="19">
        <v>45887</v>
      </c>
      <c r="B68" s="8" t="s">
        <v>63</v>
      </c>
      <c r="C68" s="1" t="s">
        <v>58</v>
      </c>
      <c r="D68" s="1" t="s">
        <v>167</v>
      </c>
      <c r="E68" s="12">
        <v>16</v>
      </c>
      <c r="F68" s="15">
        <v>150000</v>
      </c>
      <c r="G68" s="8" t="s">
        <v>168</v>
      </c>
      <c r="H68" s="8" t="s">
        <v>162</v>
      </c>
      <c r="I68" t="str">
        <f t="shared" si="7"/>
        <v>North</v>
      </c>
      <c r="J68" t="str">
        <f t="shared" si="8"/>
        <v>Tablet T8</v>
      </c>
      <c r="K68" t="str">
        <f>PROPER(TRIM(CLEAN(Table1[[#This Row],[Category]])))</f>
        <v>Mobile</v>
      </c>
      <c r="L68" t="str">
        <f t="shared" si="9"/>
        <v>Ifeanyi Okafor</v>
      </c>
      <c r="M68" t="str">
        <f t="shared" si="10"/>
        <v>Chika Mart</v>
      </c>
      <c r="N68" s="16">
        <f t="shared" si="11"/>
        <v>2400000</v>
      </c>
    </row>
    <row r="69" spans="1:14" x14ac:dyDescent="0.25">
      <c r="A69" s="19">
        <v>45888</v>
      </c>
      <c r="B69" s="8" t="s">
        <v>103</v>
      </c>
      <c r="C69" s="1" t="s">
        <v>104</v>
      </c>
      <c r="D69" s="1" t="s">
        <v>61</v>
      </c>
      <c r="E69" s="12">
        <v>8</v>
      </c>
      <c r="F69" s="15">
        <v>175000</v>
      </c>
      <c r="G69" s="8" t="s">
        <v>169</v>
      </c>
      <c r="H69" s="8" t="s">
        <v>50</v>
      </c>
      <c r="I69" t="str">
        <f t="shared" si="7"/>
        <v>East</v>
      </c>
      <c r="J69" t="str">
        <f t="shared" si="8"/>
        <v>Camera C100</v>
      </c>
      <c r="K69" t="str">
        <f>PROPER(TRIM(CLEAN(Table1[[#This Row],[Category]])))</f>
        <v>Photography</v>
      </c>
      <c r="L69" t="str">
        <f t="shared" si="9"/>
        <v>Peter Obi</v>
      </c>
      <c r="M69" t="str">
        <f t="shared" si="10"/>
        <v>Bright Solutions</v>
      </c>
      <c r="N69" s="16">
        <f t="shared" si="11"/>
        <v>1400000</v>
      </c>
    </row>
    <row r="70" spans="1:14" x14ac:dyDescent="0.25">
      <c r="A70" s="19">
        <v>45889</v>
      </c>
      <c r="B70" s="8" t="s">
        <v>5</v>
      </c>
      <c r="C70" s="1" t="s">
        <v>170</v>
      </c>
      <c r="D70" s="1" t="s">
        <v>208</v>
      </c>
      <c r="E70" s="12">
        <v>2</v>
      </c>
      <c r="F70" s="15">
        <v>85000</v>
      </c>
      <c r="G70" s="8" t="s">
        <v>171</v>
      </c>
      <c r="H70" s="8" t="s">
        <v>282</v>
      </c>
      <c r="I70" t="str">
        <f t="shared" si="7"/>
        <v>South</v>
      </c>
      <c r="J70" t="str">
        <f t="shared" si="8"/>
        <v>Speaker S10</v>
      </c>
      <c r="K70" t="str">
        <f>PROPER(TRIM(CLEAN(Table1[[#This Row],[Category]])))</f>
        <v>Audio</v>
      </c>
      <c r="L70" t="str">
        <f t="shared" si="9"/>
        <v>Chinedu Nwosu</v>
      </c>
      <c r="M70" t="str">
        <f t="shared" si="10"/>
        <v>Kelvin Tech</v>
      </c>
      <c r="N70" s="16">
        <f t="shared" si="11"/>
        <v>170000</v>
      </c>
    </row>
    <row r="71" spans="1:14" x14ac:dyDescent="0.25">
      <c r="A71" s="19">
        <v>45890</v>
      </c>
      <c r="B71" s="8" t="s">
        <v>74</v>
      </c>
      <c r="C71" s="1" t="s">
        <v>67</v>
      </c>
      <c r="D71" s="1" t="s">
        <v>199</v>
      </c>
      <c r="E71" s="12">
        <v>13</v>
      </c>
      <c r="F71" s="15">
        <v>250000</v>
      </c>
      <c r="G71" s="8" t="s">
        <v>242</v>
      </c>
      <c r="H71" s="8" t="s">
        <v>172</v>
      </c>
      <c r="I71" t="str">
        <f t="shared" si="7"/>
        <v>North</v>
      </c>
      <c r="J71" t="str">
        <f t="shared" si="8"/>
        <v>Laptop A15</v>
      </c>
      <c r="K71" t="str">
        <f>PROPER(TRIM(CLEAN(Table1[[#This Row],[Category]])))</f>
        <v>Computers</v>
      </c>
      <c r="L71" t="str">
        <f t="shared" si="9"/>
        <v>Grace Amos</v>
      </c>
      <c r="M71" t="str">
        <f t="shared" si="10"/>
        <v>Chika Mart</v>
      </c>
      <c r="N71" s="16">
        <f t="shared" si="11"/>
        <v>3250000</v>
      </c>
    </row>
    <row r="72" spans="1:14" x14ac:dyDescent="0.25">
      <c r="A72" s="19">
        <v>45891</v>
      </c>
      <c r="B72" s="8" t="s">
        <v>89</v>
      </c>
      <c r="C72" s="1" t="s">
        <v>84</v>
      </c>
      <c r="D72" s="1" t="s">
        <v>28</v>
      </c>
      <c r="E72" s="12">
        <v>11</v>
      </c>
      <c r="F72" s="15">
        <v>65000</v>
      </c>
      <c r="G72" s="8" t="s">
        <v>173</v>
      </c>
      <c r="H72" s="8" t="s">
        <v>174</v>
      </c>
      <c r="I72" t="str">
        <f t="shared" si="7"/>
        <v>West</v>
      </c>
      <c r="J72" t="str">
        <f t="shared" si="8"/>
        <v>Monitor M24</v>
      </c>
      <c r="K72" t="str">
        <f>PROPER(TRIM(CLEAN(Table1[[#This Row],[Category]])))</f>
        <v>Peripherals</v>
      </c>
      <c r="L72" t="str">
        <f t="shared" si="9"/>
        <v>Chinedu Nwosu</v>
      </c>
      <c r="M72" t="str">
        <f t="shared" si="10"/>
        <v>Tola Ventures</v>
      </c>
      <c r="N72" s="16">
        <f t="shared" si="11"/>
        <v>715000</v>
      </c>
    </row>
    <row r="73" spans="1:14" x14ac:dyDescent="0.25">
      <c r="A73" s="19">
        <v>45892</v>
      </c>
      <c r="B73" s="8" t="s">
        <v>296</v>
      </c>
      <c r="C73" s="1" t="s">
        <v>175</v>
      </c>
      <c r="D73" s="1" t="s">
        <v>254</v>
      </c>
      <c r="E73" s="12">
        <v>17</v>
      </c>
      <c r="F73" s="15">
        <v>3500</v>
      </c>
      <c r="G73" s="8" t="s">
        <v>176</v>
      </c>
      <c r="H73" s="8" t="s">
        <v>205</v>
      </c>
      <c r="I73" t="str">
        <f t="shared" si="7"/>
        <v>South</v>
      </c>
      <c r="J73" t="str">
        <f t="shared" si="8"/>
        <v>Tv 43Q</v>
      </c>
      <c r="K73" t="str">
        <f>PROPER(TRIM(CLEAN(Table1[[#This Row],[Category]])))</f>
        <v>Electronics</v>
      </c>
      <c r="L73" t="str">
        <f t="shared" si="9"/>
        <v>Chinedu Nwosu</v>
      </c>
      <c r="M73" t="str">
        <f t="shared" si="10"/>
        <v>Omega Wholesale</v>
      </c>
      <c r="N73" s="16">
        <f t="shared" si="11"/>
        <v>59500</v>
      </c>
    </row>
    <row r="74" spans="1:14" x14ac:dyDescent="0.25">
      <c r="A74" s="19">
        <v>45893</v>
      </c>
      <c r="B74" s="8" t="s">
        <v>33</v>
      </c>
      <c r="C74" s="1" t="s">
        <v>177</v>
      </c>
      <c r="D74" s="1" t="s">
        <v>85</v>
      </c>
      <c r="E74" s="12">
        <v>18</v>
      </c>
      <c r="F74" s="15">
        <v>65000</v>
      </c>
      <c r="G74" s="8" t="s">
        <v>65</v>
      </c>
      <c r="H74" s="8" t="s">
        <v>138</v>
      </c>
      <c r="I74" t="str">
        <f t="shared" si="7"/>
        <v>West</v>
      </c>
      <c r="J74" t="str">
        <f t="shared" si="8"/>
        <v>Monitor M24</v>
      </c>
      <c r="K74" t="str">
        <f>PROPER(TRIM(CLEAN(Table1[[#This Row],[Category]])))</f>
        <v>Peripherals</v>
      </c>
      <c r="L74" t="str">
        <f t="shared" si="9"/>
        <v>Chinedu Nwosu</v>
      </c>
      <c r="M74" t="str">
        <f t="shared" si="10"/>
        <v>Femi Tech</v>
      </c>
      <c r="N74" s="16">
        <f t="shared" si="11"/>
        <v>1170000</v>
      </c>
    </row>
    <row r="75" spans="1:14" x14ac:dyDescent="0.25">
      <c r="A75" s="19">
        <v>45894</v>
      </c>
      <c r="B75" s="8" t="s">
        <v>30</v>
      </c>
      <c r="C75" s="1" t="s">
        <v>178</v>
      </c>
      <c r="D75" s="1" t="s">
        <v>148</v>
      </c>
      <c r="E75" s="12">
        <v>13</v>
      </c>
      <c r="F75" s="15">
        <v>180000</v>
      </c>
      <c r="G75" s="8" t="s">
        <v>78</v>
      </c>
      <c r="H75" s="8" t="s">
        <v>243</v>
      </c>
      <c r="I75" t="str">
        <f t="shared" si="7"/>
        <v>East</v>
      </c>
      <c r="J75" t="str">
        <f t="shared" si="8"/>
        <v>Phone X12</v>
      </c>
      <c r="K75" t="str">
        <f>PROPER(TRIM(CLEAN(Table1[[#This Row],[Category]])))</f>
        <v>Mobile</v>
      </c>
      <c r="L75" t="str">
        <f t="shared" si="9"/>
        <v>Grace Amos</v>
      </c>
      <c r="M75" t="str">
        <f t="shared" si="10"/>
        <v>Zainab Global</v>
      </c>
      <c r="N75" s="16">
        <f t="shared" si="11"/>
        <v>2340000</v>
      </c>
    </row>
    <row r="76" spans="1:14" x14ac:dyDescent="0.25">
      <c r="A76" s="19">
        <v>45895</v>
      </c>
      <c r="B76" s="8" t="s">
        <v>37</v>
      </c>
      <c r="C76" s="1" t="s">
        <v>233</v>
      </c>
      <c r="D76" s="1" t="s">
        <v>105</v>
      </c>
      <c r="E76" s="12">
        <v>10</v>
      </c>
      <c r="F76" s="15">
        <v>175000</v>
      </c>
      <c r="G76" s="8" t="s">
        <v>179</v>
      </c>
      <c r="H76" s="8" t="s">
        <v>267</v>
      </c>
      <c r="I76" t="str">
        <f t="shared" si="7"/>
        <v>South</v>
      </c>
      <c r="J76" t="str">
        <f t="shared" si="8"/>
        <v>Camera C100</v>
      </c>
      <c r="K76" t="str">
        <f>PROPER(TRIM(CLEAN(Table1[[#This Row],[Category]])))</f>
        <v>Photography</v>
      </c>
      <c r="L76" t="str">
        <f t="shared" si="9"/>
        <v>Aisha Bello</v>
      </c>
      <c r="M76" t="str">
        <f t="shared" si="10"/>
        <v>Jide Superstores</v>
      </c>
      <c r="N76" s="16">
        <f t="shared" si="11"/>
        <v>1750000</v>
      </c>
    </row>
    <row r="77" spans="1:14" x14ac:dyDescent="0.25">
      <c r="A77" s="19">
        <v>45896</v>
      </c>
      <c r="B77" s="8" t="s">
        <v>180</v>
      </c>
      <c r="C77" s="1" t="s">
        <v>236</v>
      </c>
      <c r="D77" s="1" t="s">
        <v>131</v>
      </c>
      <c r="E77" s="12">
        <v>5</v>
      </c>
      <c r="F77" s="15">
        <v>85000</v>
      </c>
      <c r="G77" s="8" t="s">
        <v>181</v>
      </c>
      <c r="H77" s="8" t="s">
        <v>283</v>
      </c>
      <c r="I77" t="str">
        <f t="shared" si="7"/>
        <v>East</v>
      </c>
      <c r="J77" t="str">
        <f t="shared" si="8"/>
        <v>Speaker S10</v>
      </c>
      <c r="K77" t="str">
        <f>PROPER(TRIM(CLEAN(Table1[[#This Row],[Category]])))</f>
        <v>Audio</v>
      </c>
      <c r="L77" t="str">
        <f t="shared" si="9"/>
        <v>Grace Amos</v>
      </c>
      <c r="M77" t="str">
        <f t="shared" si="10"/>
        <v>Adewale Stores</v>
      </c>
      <c r="N77" s="16">
        <f t="shared" si="11"/>
        <v>425000</v>
      </c>
    </row>
    <row r="78" spans="1:14" x14ac:dyDescent="0.25">
      <c r="A78" s="19">
        <v>45897</v>
      </c>
      <c r="B78" s="8" t="s">
        <v>182</v>
      </c>
      <c r="C78" s="1" t="s">
        <v>183</v>
      </c>
      <c r="D78" s="1" t="s">
        <v>255</v>
      </c>
      <c r="E78" s="12">
        <v>17</v>
      </c>
      <c r="F78" s="15">
        <v>350000</v>
      </c>
      <c r="G78" s="8" t="s">
        <v>102</v>
      </c>
      <c r="H78" s="8" t="s">
        <v>288</v>
      </c>
      <c r="I78" t="str">
        <f t="shared" si="7"/>
        <v>North</v>
      </c>
      <c r="J78" t="str">
        <f t="shared" si="8"/>
        <v>Tv 43Q</v>
      </c>
      <c r="K78" t="str">
        <f>PROPER(TRIM(CLEAN(Table1[[#This Row],[Category]])))</f>
        <v>Electronics</v>
      </c>
      <c r="L78" t="str">
        <f t="shared" si="9"/>
        <v>Mary John</v>
      </c>
      <c r="M78" t="str">
        <f t="shared" si="10"/>
        <v>Emeka Traders</v>
      </c>
      <c r="N78" s="16">
        <f t="shared" si="11"/>
        <v>5950000</v>
      </c>
    </row>
    <row r="79" spans="1:14" x14ac:dyDescent="0.25">
      <c r="A79" s="19">
        <v>45898</v>
      </c>
      <c r="B79" s="8" t="s">
        <v>232</v>
      </c>
      <c r="C79" s="1" t="s">
        <v>184</v>
      </c>
      <c r="D79" s="1" t="s">
        <v>87</v>
      </c>
      <c r="E79" s="12">
        <v>13</v>
      </c>
      <c r="F79" s="15">
        <v>350000</v>
      </c>
      <c r="G79" s="8" t="s">
        <v>185</v>
      </c>
      <c r="H79" s="8" t="s">
        <v>270</v>
      </c>
      <c r="I79" t="str">
        <f t="shared" si="7"/>
        <v>North</v>
      </c>
      <c r="J79" t="str">
        <f t="shared" si="8"/>
        <v>Tv 43Q</v>
      </c>
      <c r="K79" t="str">
        <f>PROPER(TRIM(CLEAN(Table1[[#This Row],[Category]])))</f>
        <v>Electronics</v>
      </c>
      <c r="L79" t="str">
        <f t="shared" si="9"/>
        <v>Fola Balogun</v>
      </c>
      <c r="M79" t="str">
        <f t="shared" si="10"/>
        <v>Emeka Traders</v>
      </c>
      <c r="N79" s="16">
        <f t="shared" si="11"/>
        <v>4550000</v>
      </c>
    </row>
    <row r="80" spans="1:14" x14ac:dyDescent="0.25">
      <c r="A80" s="19">
        <v>45899</v>
      </c>
      <c r="B80" s="8" t="s">
        <v>41</v>
      </c>
      <c r="C80" s="1" t="s">
        <v>186</v>
      </c>
      <c r="D80" s="1" t="s">
        <v>254</v>
      </c>
      <c r="E80" s="12">
        <v>8</v>
      </c>
      <c r="F80" s="15">
        <v>350000</v>
      </c>
      <c r="G80" s="8" t="s">
        <v>187</v>
      </c>
      <c r="H80" s="8" t="s">
        <v>73</v>
      </c>
      <c r="I80" t="str">
        <f t="shared" si="7"/>
        <v>North</v>
      </c>
      <c r="J80" t="str">
        <f t="shared" si="8"/>
        <v>Tv 43Q</v>
      </c>
      <c r="K80" t="str">
        <f>PROPER(TRIM(CLEAN(Table1[[#This Row],[Category]])))</f>
        <v>Electronics</v>
      </c>
      <c r="L80" t="str">
        <f t="shared" si="9"/>
        <v>Ifeanyi Okafor</v>
      </c>
      <c r="M80" t="str">
        <f t="shared" si="10"/>
        <v>Maryam Ltd</v>
      </c>
      <c r="N80" s="16">
        <f t="shared" si="11"/>
        <v>2800000</v>
      </c>
    </row>
    <row r="81" spans="1:14" x14ac:dyDescent="0.25">
      <c r="A81" s="19">
        <v>45900</v>
      </c>
      <c r="B81" s="8" t="s">
        <v>188</v>
      </c>
      <c r="C81" s="1" t="s">
        <v>189</v>
      </c>
      <c r="D81" s="1" t="s">
        <v>256</v>
      </c>
      <c r="E81" s="12">
        <v>13</v>
      </c>
      <c r="F81" s="15">
        <v>85000</v>
      </c>
      <c r="G81" s="8" t="s">
        <v>190</v>
      </c>
      <c r="H81" s="8" t="s">
        <v>73</v>
      </c>
      <c r="I81" t="str">
        <f t="shared" si="7"/>
        <v>South</v>
      </c>
      <c r="J81" t="str">
        <f t="shared" si="8"/>
        <v>Speaker S10</v>
      </c>
      <c r="K81" t="str">
        <f>PROPER(TRIM(CLEAN(Table1[[#This Row],[Category]])))</f>
        <v>Audio</v>
      </c>
      <c r="L81" t="str">
        <f t="shared" si="9"/>
        <v>Aisha Bello</v>
      </c>
      <c r="M81" t="str">
        <f t="shared" si="10"/>
        <v>Maryam Ltd</v>
      </c>
      <c r="N81" s="16">
        <f t="shared" si="11"/>
        <v>1105000</v>
      </c>
    </row>
    <row r="82" spans="1:14" x14ac:dyDescent="0.25">
      <c r="A82" s="19">
        <v>45901</v>
      </c>
      <c r="B82" s="8" t="s">
        <v>191</v>
      </c>
      <c r="C82" s="1" t="s">
        <v>192</v>
      </c>
      <c r="D82" s="1" t="s">
        <v>15</v>
      </c>
      <c r="E82" s="12">
        <v>17</v>
      </c>
      <c r="F82" s="15">
        <v>150000</v>
      </c>
      <c r="G82" s="8" t="s">
        <v>193</v>
      </c>
      <c r="H82" s="8" t="s">
        <v>194</v>
      </c>
      <c r="I82" t="str">
        <f t="shared" si="7"/>
        <v>East</v>
      </c>
      <c r="J82" t="str">
        <f t="shared" si="8"/>
        <v>Tablet T8</v>
      </c>
      <c r="K82" t="str">
        <f>PROPER(TRIM(CLEAN(Table1[[#This Row],[Category]])))</f>
        <v>Mobile</v>
      </c>
      <c r="L82" t="str">
        <f t="shared" si="9"/>
        <v>Fola Balogun</v>
      </c>
      <c r="M82" t="str">
        <f t="shared" si="10"/>
        <v>Musa Enterprises</v>
      </c>
      <c r="N82" s="16">
        <f t="shared" si="11"/>
        <v>2550000</v>
      </c>
    </row>
    <row r="83" spans="1:14" x14ac:dyDescent="0.25">
      <c r="A83" s="19">
        <v>45902</v>
      </c>
      <c r="B83" s="8" t="s">
        <v>195</v>
      </c>
      <c r="C83" s="1" t="s">
        <v>52</v>
      </c>
      <c r="D83" s="1" t="s">
        <v>196</v>
      </c>
      <c r="E83" s="12">
        <v>19</v>
      </c>
      <c r="F83" s="15">
        <v>65000</v>
      </c>
      <c r="G83" s="8" t="s">
        <v>197</v>
      </c>
      <c r="H83" s="8" t="s">
        <v>198</v>
      </c>
      <c r="I83" t="str">
        <f t="shared" si="7"/>
        <v>South</v>
      </c>
      <c r="J83" t="str">
        <f t="shared" si="8"/>
        <v>Monitor M24</v>
      </c>
      <c r="K83" t="str">
        <f>PROPER(TRIM(CLEAN(Table1[[#This Row],[Category]])))</f>
        <v>Peripherals</v>
      </c>
      <c r="L83" t="str">
        <f t="shared" si="9"/>
        <v>Grace Amos</v>
      </c>
      <c r="M83" t="str">
        <f t="shared" si="10"/>
        <v>Femi Tech</v>
      </c>
      <c r="N83" s="16">
        <f t="shared" si="11"/>
        <v>1235000</v>
      </c>
    </row>
    <row r="84" spans="1:14" x14ac:dyDescent="0.25">
      <c r="A84" s="19">
        <v>45903</v>
      </c>
      <c r="B84" s="8" t="s">
        <v>92</v>
      </c>
      <c r="C84" s="1" t="s">
        <v>34</v>
      </c>
      <c r="D84" s="1" t="s">
        <v>20</v>
      </c>
      <c r="E84" s="12">
        <v>1</v>
      </c>
      <c r="F84" s="15">
        <v>150000</v>
      </c>
      <c r="G84" s="8" t="s">
        <v>78</v>
      </c>
      <c r="H84" s="8" t="s">
        <v>280</v>
      </c>
      <c r="I84" t="str">
        <f t="shared" si="7"/>
        <v>North</v>
      </c>
      <c r="J84" t="str">
        <f t="shared" si="8"/>
        <v>Tablet T8</v>
      </c>
      <c r="K84" t="str">
        <f>PROPER(TRIM(CLEAN(Table1[[#This Row],[Category]])))</f>
        <v>Mobile</v>
      </c>
      <c r="L84" t="str">
        <f t="shared" si="9"/>
        <v>Grace Amos</v>
      </c>
      <c r="M84" t="str">
        <f t="shared" si="10"/>
        <v>Adewale Stores</v>
      </c>
      <c r="N84" s="16">
        <f t="shared" si="11"/>
        <v>150000</v>
      </c>
    </row>
    <row r="85" spans="1:14" x14ac:dyDescent="0.25">
      <c r="A85" s="19">
        <v>45904</v>
      </c>
      <c r="B85" s="8" t="s">
        <v>153</v>
      </c>
      <c r="C85" s="1" t="s">
        <v>294</v>
      </c>
      <c r="D85" s="1" t="s">
        <v>199</v>
      </c>
      <c r="E85" s="12">
        <v>13</v>
      </c>
      <c r="F85" s="15">
        <v>250000</v>
      </c>
      <c r="G85" s="8" t="s">
        <v>200</v>
      </c>
      <c r="H85" s="8" t="s">
        <v>281</v>
      </c>
      <c r="I85" t="str">
        <f t="shared" si="7"/>
        <v>East</v>
      </c>
      <c r="J85" t="str">
        <f t="shared" si="8"/>
        <v>Laptop A15</v>
      </c>
      <c r="K85" t="str">
        <f>PROPER(TRIM(CLEAN(Table1[[#This Row],[Category]])))</f>
        <v>Computers</v>
      </c>
      <c r="L85" t="str">
        <f t="shared" si="9"/>
        <v>Chinedu Nwosu</v>
      </c>
      <c r="M85" t="str">
        <f t="shared" si="10"/>
        <v>Maryam Ltd</v>
      </c>
      <c r="N85" s="16">
        <f t="shared" si="11"/>
        <v>3250000</v>
      </c>
    </row>
    <row r="86" spans="1:14" x14ac:dyDescent="0.25">
      <c r="A86" s="19">
        <v>45905</v>
      </c>
      <c r="B86" s="8" t="s">
        <v>117</v>
      </c>
      <c r="C86" s="1" t="s">
        <v>201</v>
      </c>
      <c r="D86" s="1" t="s">
        <v>250</v>
      </c>
      <c r="E86" s="12">
        <v>18</v>
      </c>
      <c r="F86" s="15">
        <v>65000</v>
      </c>
      <c r="G86" s="8" t="s">
        <v>159</v>
      </c>
      <c r="H86" s="8" t="s">
        <v>112</v>
      </c>
      <c r="I86" t="str">
        <f t="shared" si="7"/>
        <v>East</v>
      </c>
      <c r="J86" t="str">
        <f t="shared" si="8"/>
        <v>Monitor M24</v>
      </c>
      <c r="K86" t="str">
        <f>PROPER(TRIM(CLEAN(Table1[[#This Row],[Category]])))</f>
        <v>Peripherals</v>
      </c>
      <c r="L86" t="str">
        <f t="shared" si="9"/>
        <v>Chinedu Nwosu</v>
      </c>
      <c r="M86" t="str">
        <f t="shared" si="10"/>
        <v>Tope &amp; Sons</v>
      </c>
      <c r="N86" s="16">
        <f t="shared" si="11"/>
        <v>1170000</v>
      </c>
    </row>
    <row r="87" spans="1:14" x14ac:dyDescent="0.25">
      <c r="A87" s="19">
        <v>45906</v>
      </c>
      <c r="B87" s="8" t="s">
        <v>202</v>
      </c>
      <c r="C87" s="1" t="s">
        <v>294</v>
      </c>
      <c r="D87" s="1" t="s">
        <v>249</v>
      </c>
      <c r="E87" s="12">
        <v>20</v>
      </c>
      <c r="F87" s="15">
        <v>250000</v>
      </c>
      <c r="G87" s="8" t="s">
        <v>203</v>
      </c>
      <c r="H87" s="8" t="s">
        <v>284</v>
      </c>
      <c r="I87" t="str">
        <f t="shared" si="7"/>
        <v>North</v>
      </c>
      <c r="J87" t="str">
        <f t="shared" si="8"/>
        <v>Laptop A15</v>
      </c>
      <c r="K87" t="str">
        <f>PROPER(TRIM(CLEAN(Table1[[#This Row],[Category]])))</f>
        <v>Computers</v>
      </c>
      <c r="L87" t="str">
        <f t="shared" si="9"/>
        <v>Aisha Bello</v>
      </c>
      <c r="M87" t="str">
        <f t="shared" si="10"/>
        <v>Omega Wholesale</v>
      </c>
      <c r="N87" s="16">
        <f t="shared" si="11"/>
        <v>5000000</v>
      </c>
    </row>
    <row r="88" spans="1:14" x14ac:dyDescent="0.25">
      <c r="A88" s="19">
        <v>45907</v>
      </c>
      <c r="B88" s="8" t="s">
        <v>55</v>
      </c>
      <c r="C88" s="1" t="s">
        <v>145</v>
      </c>
      <c r="D88" s="1" t="s">
        <v>15</v>
      </c>
      <c r="E88" s="12">
        <v>4</v>
      </c>
      <c r="F88" s="15">
        <v>180000</v>
      </c>
      <c r="G88" s="8" t="s">
        <v>204</v>
      </c>
      <c r="H88" s="8" t="s">
        <v>22</v>
      </c>
      <c r="I88" t="str">
        <f t="shared" si="7"/>
        <v>East</v>
      </c>
      <c r="J88" t="str">
        <f t="shared" si="8"/>
        <v>Phone X12</v>
      </c>
      <c r="K88" t="str">
        <f>PROPER(TRIM(CLEAN(Table1[[#This Row],[Category]])))</f>
        <v>Mobile</v>
      </c>
      <c r="L88" t="str">
        <f t="shared" si="9"/>
        <v>Aisha Bello</v>
      </c>
      <c r="M88" t="str">
        <f t="shared" si="10"/>
        <v>Musa Enterprises</v>
      </c>
      <c r="N88" s="16">
        <f t="shared" si="11"/>
        <v>720000</v>
      </c>
    </row>
    <row r="89" spans="1:14" x14ac:dyDescent="0.25">
      <c r="A89" s="19">
        <v>45908</v>
      </c>
      <c r="B89" s="8" t="s">
        <v>195</v>
      </c>
      <c r="C89" s="1" t="s">
        <v>34</v>
      </c>
      <c r="D89" s="1" t="s">
        <v>20</v>
      </c>
      <c r="E89" s="12">
        <v>5</v>
      </c>
      <c r="F89" s="15">
        <v>150000</v>
      </c>
      <c r="G89" s="8" t="s">
        <v>176</v>
      </c>
      <c r="H89" s="8" t="s">
        <v>36</v>
      </c>
      <c r="I89" t="str">
        <f t="shared" si="7"/>
        <v>South</v>
      </c>
      <c r="J89" t="str">
        <f t="shared" si="8"/>
        <v>Tablet T8</v>
      </c>
      <c r="K89" t="str">
        <f>PROPER(TRIM(CLEAN(Table1[[#This Row],[Category]])))</f>
        <v>Mobile</v>
      </c>
      <c r="L89" t="str">
        <f t="shared" si="9"/>
        <v>Chinedu Nwosu</v>
      </c>
      <c r="M89" t="str">
        <f t="shared" si="10"/>
        <v>Alpha Retailers</v>
      </c>
      <c r="N89" s="16">
        <f t="shared" si="11"/>
        <v>750000</v>
      </c>
    </row>
    <row r="90" spans="1:14" x14ac:dyDescent="0.25">
      <c r="A90" s="19">
        <v>45909</v>
      </c>
      <c r="B90" s="8" t="s">
        <v>33</v>
      </c>
      <c r="C90" s="1" t="s">
        <v>67</v>
      </c>
      <c r="D90" s="1" t="s">
        <v>199</v>
      </c>
      <c r="E90" s="12">
        <v>11</v>
      </c>
      <c r="F90" s="15">
        <v>2500000</v>
      </c>
      <c r="G90" s="8" t="s">
        <v>16</v>
      </c>
      <c r="H90" s="8" t="s">
        <v>205</v>
      </c>
      <c r="I90" t="str">
        <f t="shared" si="7"/>
        <v>West</v>
      </c>
      <c r="J90" t="str">
        <f t="shared" si="8"/>
        <v>Laptop A15</v>
      </c>
      <c r="K90" t="str">
        <f>PROPER(TRIM(CLEAN(Table1[[#This Row],[Category]])))</f>
        <v>Computers</v>
      </c>
      <c r="L90" t="str">
        <f t="shared" si="9"/>
        <v>Fola Balogun</v>
      </c>
      <c r="M90" t="str">
        <f t="shared" si="10"/>
        <v>Omega Wholesale</v>
      </c>
      <c r="N90" s="16">
        <f t="shared" si="11"/>
        <v>27500000</v>
      </c>
    </row>
    <row r="91" spans="1:14" x14ac:dyDescent="0.25">
      <c r="A91" s="19">
        <v>45910</v>
      </c>
      <c r="B91" s="8" t="s">
        <v>55</v>
      </c>
      <c r="C91" s="1" t="s">
        <v>409</v>
      </c>
      <c r="D91" s="1" t="s">
        <v>244</v>
      </c>
      <c r="E91" s="12">
        <v>20</v>
      </c>
      <c r="F91" s="15">
        <v>250000</v>
      </c>
      <c r="G91" s="8" t="s">
        <v>237</v>
      </c>
      <c r="H91" s="8" t="s">
        <v>223</v>
      </c>
      <c r="I91" t="str">
        <f t="shared" si="7"/>
        <v>East</v>
      </c>
      <c r="J91" t="str">
        <f t="shared" si="8"/>
        <v>Laptop A15</v>
      </c>
      <c r="K91" t="str">
        <f>PROPER(TRIM(CLEAN(Table1[[#This Row],[Category]])))</f>
        <v>Computers</v>
      </c>
      <c r="L91" t="str">
        <f t="shared" si="9"/>
        <v>Ifeanyi Okafor</v>
      </c>
      <c r="M91" t="str">
        <f t="shared" si="10"/>
        <v>Femi Tech</v>
      </c>
      <c r="N91" s="16">
        <f t="shared" si="11"/>
        <v>5000000</v>
      </c>
    </row>
    <row r="92" spans="1:14" x14ac:dyDescent="0.25">
      <c r="A92" s="19">
        <v>45911</v>
      </c>
      <c r="B92" s="8" t="s">
        <v>206</v>
      </c>
      <c r="C92" s="1" t="s">
        <v>207</v>
      </c>
      <c r="D92" s="1" t="s">
        <v>208</v>
      </c>
      <c r="E92" s="12">
        <v>7</v>
      </c>
      <c r="F92" s="15">
        <v>89233</v>
      </c>
      <c r="G92" s="8" t="s">
        <v>137</v>
      </c>
      <c r="H92" s="8" t="s">
        <v>209</v>
      </c>
      <c r="I92" t="str">
        <f t="shared" si="7"/>
        <v>West</v>
      </c>
      <c r="J92" t="str">
        <f t="shared" si="8"/>
        <v>Speaker S10</v>
      </c>
      <c r="K92" t="str">
        <f>PROPER(TRIM(CLEAN(Table1[[#This Row],[Category]])))</f>
        <v>Audio</v>
      </c>
      <c r="L92" t="str">
        <f t="shared" si="9"/>
        <v>Fola Balogun</v>
      </c>
      <c r="M92" t="str">
        <f t="shared" si="10"/>
        <v>Femi Tech</v>
      </c>
      <c r="N92" s="16">
        <f t="shared" si="11"/>
        <v>624631</v>
      </c>
    </row>
    <row r="93" spans="1:14" x14ac:dyDescent="0.25">
      <c r="A93" s="19">
        <v>45912</v>
      </c>
      <c r="B93" s="8" t="s">
        <v>71</v>
      </c>
      <c r="C93" s="1" t="s">
        <v>67</v>
      </c>
      <c r="D93" s="1" t="s">
        <v>199</v>
      </c>
      <c r="E93" s="12">
        <v>5</v>
      </c>
      <c r="F93" s="15">
        <v>250000</v>
      </c>
      <c r="G93" s="8" t="s">
        <v>210</v>
      </c>
      <c r="H93" s="8" t="s">
        <v>285</v>
      </c>
      <c r="I93" t="str">
        <f t="shared" si="7"/>
        <v>East</v>
      </c>
      <c r="J93" t="str">
        <f t="shared" si="8"/>
        <v>Laptop A15</v>
      </c>
      <c r="K93" t="str">
        <f>PROPER(TRIM(CLEAN(Table1[[#This Row],[Category]])))</f>
        <v>Computers</v>
      </c>
      <c r="L93" t="str">
        <f t="shared" si="9"/>
        <v>Mary John</v>
      </c>
      <c r="M93" t="str">
        <f t="shared" si="10"/>
        <v>Tope &amp; Sons</v>
      </c>
      <c r="N93" s="16">
        <f t="shared" si="11"/>
        <v>1250000</v>
      </c>
    </row>
    <row r="94" spans="1:14" x14ac:dyDescent="0.25">
      <c r="A94" s="19">
        <v>45913</v>
      </c>
      <c r="B94" s="8" t="s">
        <v>211</v>
      </c>
      <c r="C94" s="1" t="s">
        <v>233</v>
      </c>
      <c r="D94" s="1" t="s">
        <v>105</v>
      </c>
      <c r="E94" s="12">
        <v>19</v>
      </c>
      <c r="F94" s="15">
        <v>175000</v>
      </c>
      <c r="G94" s="8" t="s">
        <v>212</v>
      </c>
      <c r="H94" s="8" t="s">
        <v>213</v>
      </c>
      <c r="I94" t="str">
        <f t="shared" si="7"/>
        <v>East</v>
      </c>
      <c r="J94" t="str">
        <f t="shared" si="8"/>
        <v>Camera C100</v>
      </c>
      <c r="K94" t="str">
        <f>PROPER(TRIM(CLEAN(Table1[[#This Row],[Category]])))</f>
        <v>Photography</v>
      </c>
      <c r="L94" t="str">
        <f t="shared" si="9"/>
        <v>Mary John</v>
      </c>
      <c r="M94" t="str">
        <f t="shared" si="10"/>
        <v>Kelvin Tech</v>
      </c>
      <c r="N94" s="16">
        <f t="shared" si="11"/>
        <v>3325000</v>
      </c>
    </row>
    <row r="95" spans="1:14" x14ac:dyDescent="0.25">
      <c r="A95" s="19">
        <v>45914</v>
      </c>
      <c r="B95" s="8" t="s">
        <v>153</v>
      </c>
      <c r="C95" s="1" t="s">
        <v>86</v>
      </c>
      <c r="D95" s="1" t="s">
        <v>87</v>
      </c>
      <c r="E95" s="12">
        <v>14</v>
      </c>
      <c r="F95" s="15">
        <v>350000</v>
      </c>
      <c r="G95" s="8" t="s">
        <v>214</v>
      </c>
      <c r="H95" s="8" t="s">
        <v>286</v>
      </c>
      <c r="I95" t="str">
        <f t="shared" si="7"/>
        <v>East</v>
      </c>
      <c r="J95" t="str">
        <f t="shared" si="8"/>
        <v>Tv 43Q</v>
      </c>
      <c r="K95" t="str">
        <f>PROPER(TRIM(CLEAN(Table1[[#This Row],[Category]])))</f>
        <v>Electronics</v>
      </c>
      <c r="L95" t="str">
        <f t="shared" si="9"/>
        <v>Grace Amos</v>
      </c>
      <c r="M95" t="str">
        <f t="shared" si="10"/>
        <v>Musa Enterprises</v>
      </c>
      <c r="N95" s="16">
        <f t="shared" si="11"/>
        <v>4900000</v>
      </c>
    </row>
    <row r="96" spans="1:14" x14ac:dyDescent="0.25">
      <c r="A96" s="19">
        <v>45915</v>
      </c>
      <c r="B96" s="8" t="s">
        <v>153</v>
      </c>
      <c r="C96" s="1" t="s">
        <v>215</v>
      </c>
      <c r="D96" s="1" t="s">
        <v>216</v>
      </c>
      <c r="E96" s="12">
        <v>20</v>
      </c>
      <c r="F96" s="15">
        <v>175000</v>
      </c>
      <c r="G96" s="8" t="s">
        <v>238</v>
      </c>
      <c r="H96" s="8" t="s">
        <v>287</v>
      </c>
      <c r="I96" t="str">
        <f t="shared" si="7"/>
        <v>East</v>
      </c>
      <c r="J96" t="str">
        <f t="shared" si="8"/>
        <v>Camera C100</v>
      </c>
      <c r="K96" t="str">
        <f>PROPER(TRIM(CLEAN(Table1[[#This Row],[Category]])))</f>
        <v>Photography</v>
      </c>
      <c r="L96" t="str">
        <f t="shared" si="9"/>
        <v>Mary John</v>
      </c>
      <c r="M96" t="str">
        <f t="shared" si="10"/>
        <v>Bright Solutions</v>
      </c>
      <c r="N96" s="16">
        <f t="shared" si="11"/>
        <v>3500000</v>
      </c>
    </row>
    <row r="97" spans="1:14" x14ac:dyDescent="0.25">
      <c r="A97" s="19">
        <v>45916</v>
      </c>
      <c r="B97" s="8" t="s">
        <v>217</v>
      </c>
      <c r="C97" s="1" t="s">
        <v>189</v>
      </c>
      <c r="D97" s="1" t="s">
        <v>131</v>
      </c>
      <c r="E97" s="12">
        <v>18</v>
      </c>
      <c r="F97" s="15">
        <v>85000</v>
      </c>
      <c r="G97" s="8" t="s">
        <v>218</v>
      </c>
      <c r="H97" s="8" t="s">
        <v>174</v>
      </c>
      <c r="I97" t="str">
        <f t="shared" si="7"/>
        <v>South</v>
      </c>
      <c r="J97" t="str">
        <f t="shared" si="8"/>
        <v>Speaker S10</v>
      </c>
      <c r="K97" t="str">
        <f>PROPER(TRIM(CLEAN(Table1[[#This Row],[Category]])))</f>
        <v>Audio</v>
      </c>
      <c r="L97" t="str">
        <f t="shared" si="9"/>
        <v>Peter Obi</v>
      </c>
      <c r="M97" t="str">
        <f t="shared" si="10"/>
        <v>Tola Ventures</v>
      </c>
      <c r="N97" s="16">
        <f t="shared" si="11"/>
        <v>1530000</v>
      </c>
    </row>
    <row r="98" spans="1:14" x14ac:dyDescent="0.25">
      <c r="A98" s="19">
        <v>45917</v>
      </c>
      <c r="B98" s="8" t="s">
        <v>219</v>
      </c>
      <c r="C98" s="1" t="s">
        <v>220</v>
      </c>
      <c r="D98" s="1" t="s">
        <v>61</v>
      </c>
      <c r="E98" s="12">
        <v>17</v>
      </c>
      <c r="F98" s="15">
        <v>175000</v>
      </c>
      <c r="G98" s="8" t="s">
        <v>221</v>
      </c>
      <c r="H98" s="8" t="s">
        <v>165</v>
      </c>
      <c r="I98" t="str">
        <f t="shared" si="7"/>
        <v>North</v>
      </c>
      <c r="J98" t="str">
        <f t="shared" si="8"/>
        <v>Camera C100</v>
      </c>
      <c r="K98" t="str">
        <f>PROPER(TRIM(CLEAN(Table1[[#This Row],[Category]])))</f>
        <v>Photography</v>
      </c>
      <c r="L98" t="str">
        <f t="shared" si="9"/>
        <v>Ifeanyi Okafor</v>
      </c>
      <c r="M98" t="str">
        <f t="shared" si="10"/>
        <v>Emeka Traders</v>
      </c>
      <c r="N98" s="16">
        <f t="shared" si="11"/>
        <v>2975000</v>
      </c>
    </row>
    <row r="99" spans="1:14" x14ac:dyDescent="0.25">
      <c r="A99" s="19">
        <v>45918</v>
      </c>
      <c r="B99" s="8" t="s">
        <v>5</v>
      </c>
      <c r="C99" s="1" t="s">
        <v>115</v>
      </c>
      <c r="D99" s="1" t="s">
        <v>199</v>
      </c>
      <c r="E99" s="12">
        <v>20</v>
      </c>
      <c r="F99" s="15">
        <v>250000</v>
      </c>
      <c r="G99" s="8" t="s">
        <v>164</v>
      </c>
      <c r="H99" s="8" t="s">
        <v>12</v>
      </c>
      <c r="I99" t="str">
        <f t="shared" si="7"/>
        <v>South</v>
      </c>
      <c r="J99" t="str">
        <f t="shared" si="8"/>
        <v>Laptop A15</v>
      </c>
      <c r="K99" t="str">
        <f>PROPER(TRIM(CLEAN(Table1[[#This Row],[Category]])))</f>
        <v>Computers</v>
      </c>
      <c r="L99" t="str">
        <f t="shared" si="9"/>
        <v>Fola Balogun</v>
      </c>
      <c r="M99" t="str">
        <f t="shared" si="10"/>
        <v>Musa Enterprises</v>
      </c>
      <c r="N99" s="16">
        <f t="shared" si="11"/>
        <v>5000000</v>
      </c>
    </row>
    <row r="100" spans="1:14" x14ac:dyDescent="0.25">
      <c r="A100" s="19">
        <v>45919</v>
      </c>
      <c r="B100" s="8" t="s">
        <v>113</v>
      </c>
      <c r="C100" s="1" t="s">
        <v>158</v>
      </c>
      <c r="D100" s="1" t="s">
        <v>87</v>
      </c>
      <c r="E100" s="12">
        <v>20</v>
      </c>
      <c r="F100" s="15">
        <v>350000</v>
      </c>
      <c r="G100" s="8" t="s">
        <v>222</v>
      </c>
      <c r="H100" s="8" t="s">
        <v>223</v>
      </c>
      <c r="I100" t="str">
        <f t="shared" si="7"/>
        <v>South</v>
      </c>
      <c r="J100" t="str">
        <f t="shared" si="8"/>
        <v>Tv 43Q</v>
      </c>
      <c r="K100" t="str">
        <f>PROPER(TRIM(CLEAN(Table1[[#This Row],[Category]])))</f>
        <v>Electronics</v>
      </c>
      <c r="L100" t="str">
        <f t="shared" si="9"/>
        <v>Peter Obi</v>
      </c>
      <c r="M100" t="str">
        <f t="shared" si="10"/>
        <v>Femi Tech</v>
      </c>
      <c r="N100" s="16">
        <f t="shared" si="11"/>
        <v>7000000</v>
      </c>
    </row>
    <row r="101" spans="1:14" x14ac:dyDescent="0.25">
      <c r="A101" s="19">
        <v>45920</v>
      </c>
      <c r="B101" s="8" t="s">
        <v>224</v>
      </c>
      <c r="C101" s="1" t="s">
        <v>225</v>
      </c>
      <c r="D101" s="1" t="s">
        <v>19</v>
      </c>
      <c r="E101" s="12">
        <v>18</v>
      </c>
      <c r="F101" s="15">
        <v>150000</v>
      </c>
      <c r="G101" s="8" t="s">
        <v>226</v>
      </c>
      <c r="H101" s="8" t="s">
        <v>227</v>
      </c>
      <c r="I101" t="str">
        <f t="shared" si="7"/>
        <v>West</v>
      </c>
      <c r="J101" t="str">
        <f t="shared" si="8"/>
        <v>Tablet T8</v>
      </c>
      <c r="K101" t="str">
        <f>PROPER(TRIM(CLEAN(Table1[[#This Row],[Category]])))</f>
        <v>Mobile</v>
      </c>
      <c r="L101" t="str">
        <f t="shared" si="9"/>
        <v>Grace Amos</v>
      </c>
      <c r="M101" t="str">
        <f t="shared" si="10"/>
        <v>Alpha Retailers</v>
      </c>
      <c r="N101" s="16">
        <f t="shared" si="11"/>
        <v>2700000</v>
      </c>
    </row>
  </sheetData>
  <phoneticPr fontId="4"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1987-9EE6-4121-81F2-9FCFCD456806}">
  <dimension ref="A2:N142"/>
  <sheetViews>
    <sheetView topLeftCell="D141" workbookViewId="0">
      <selection activeCell="D18" sqref="D18"/>
    </sheetView>
  </sheetViews>
  <sheetFormatPr defaultRowHeight="15" x14ac:dyDescent="0.25"/>
  <cols>
    <col min="1" max="1" width="15.140625" bestFit="1" customWidth="1"/>
    <col min="2" max="2" width="18.85546875" bestFit="1" customWidth="1"/>
    <col min="3" max="3" width="18.28515625" bestFit="1" customWidth="1"/>
    <col min="4" max="4" width="13.140625" bestFit="1" customWidth="1"/>
    <col min="5" max="6" width="18.28515625" bestFit="1" customWidth="1"/>
    <col min="7" max="7" width="13.140625" bestFit="1" customWidth="1"/>
    <col min="8" max="8" width="18.28515625" bestFit="1" customWidth="1"/>
    <col min="9" max="9" width="18.85546875" bestFit="1" customWidth="1"/>
    <col min="10" max="10" width="13.140625" bestFit="1" customWidth="1"/>
    <col min="11" max="11" width="18.85546875" bestFit="1" customWidth="1"/>
    <col min="12" max="12" width="6.140625" bestFit="1" customWidth="1"/>
    <col min="13" max="13" width="5.7109375" bestFit="1" customWidth="1"/>
    <col min="14" max="15" width="11.28515625" bestFit="1" customWidth="1"/>
    <col min="16" max="32" width="11.5703125" bestFit="1" customWidth="1"/>
    <col min="33" max="72" width="13.28515625" bestFit="1" customWidth="1"/>
    <col min="73" max="76" width="14.28515625" bestFit="1" customWidth="1"/>
    <col min="77" max="77" width="11.28515625" bestFit="1" customWidth="1"/>
    <col min="78" max="78" width="13.28515625" bestFit="1" customWidth="1"/>
    <col min="79" max="79" width="18.28515625" bestFit="1" customWidth="1"/>
    <col min="80" max="80" width="13.28515625" bestFit="1" customWidth="1"/>
    <col min="81" max="81" width="18.28515625" bestFit="1" customWidth="1"/>
    <col min="82" max="82" width="13.28515625" bestFit="1" customWidth="1"/>
    <col min="83" max="83" width="9.42578125" bestFit="1" customWidth="1"/>
    <col min="84" max="84" width="18.28515625" bestFit="1" customWidth="1"/>
    <col min="85" max="85" width="13.28515625" bestFit="1" customWidth="1"/>
    <col min="86" max="86" width="18.28515625" bestFit="1" customWidth="1"/>
    <col min="87" max="87" width="15.140625" bestFit="1" customWidth="1"/>
    <col min="88" max="88" width="18.28515625" bestFit="1" customWidth="1"/>
    <col min="89" max="89" width="13.7109375" bestFit="1" customWidth="1"/>
    <col min="90" max="90" width="9.42578125" bestFit="1" customWidth="1"/>
    <col min="91" max="91" width="18.28515625" bestFit="1" customWidth="1"/>
    <col min="92" max="92" width="13.28515625" bestFit="1" customWidth="1"/>
    <col min="93" max="93" width="18.28515625" bestFit="1" customWidth="1"/>
    <col min="94" max="94" width="13.28515625" bestFit="1" customWidth="1"/>
    <col min="95" max="95" width="18.28515625" bestFit="1" customWidth="1"/>
    <col min="96" max="96" width="13.28515625" bestFit="1" customWidth="1"/>
    <col min="97" max="97" width="12.28515625" bestFit="1" customWidth="1"/>
    <col min="98" max="98" width="18.28515625" bestFit="1" customWidth="1"/>
    <col min="99" max="99" width="13.28515625" bestFit="1" customWidth="1"/>
    <col min="100" max="100" width="10.140625" bestFit="1" customWidth="1"/>
    <col min="101" max="101" width="18.28515625" bestFit="1" customWidth="1"/>
    <col min="102" max="102" width="15.140625" bestFit="1" customWidth="1"/>
    <col min="103" max="103" width="13.7109375" bestFit="1" customWidth="1"/>
    <col min="104" max="104" width="18.28515625" bestFit="1" customWidth="1"/>
    <col min="105" max="105" width="13.28515625" bestFit="1" customWidth="1"/>
    <col min="106" max="106" width="18.28515625" bestFit="1" customWidth="1"/>
    <col min="107" max="107" width="13.7109375" bestFit="1" customWidth="1"/>
    <col min="108" max="108" width="18.28515625" bestFit="1" customWidth="1"/>
    <col min="109" max="109" width="13.28515625" bestFit="1" customWidth="1"/>
    <col min="110" max="110" width="18.28515625" bestFit="1" customWidth="1"/>
    <col min="111" max="111" width="13.28515625" bestFit="1" customWidth="1"/>
    <col min="112" max="112" width="18.28515625" bestFit="1" customWidth="1"/>
    <col min="113" max="113" width="13.28515625" bestFit="1" customWidth="1"/>
    <col min="114" max="114" width="18.28515625" bestFit="1" customWidth="1"/>
    <col min="115" max="115" width="13.28515625" bestFit="1" customWidth="1"/>
    <col min="116" max="116" width="11.5703125" bestFit="1" customWidth="1"/>
    <col min="117" max="117" width="18.28515625" bestFit="1" customWidth="1"/>
    <col min="118" max="118" width="13.7109375" bestFit="1" customWidth="1"/>
    <col min="119" max="119" width="9.42578125" bestFit="1" customWidth="1"/>
    <col min="120" max="120" width="18.28515625" bestFit="1" customWidth="1"/>
    <col min="121" max="121" width="15" bestFit="1" customWidth="1"/>
    <col min="122" max="122" width="18.28515625" bestFit="1" customWidth="1"/>
    <col min="123" max="123" width="13.7109375" bestFit="1" customWidth="1"/>
    <col min="124" max="124" width="18.28515625" bestFit="1" customWidth="1"/>
    <col min="125" max="125" width="13.7109375" bestFit="1" customWidth="1"/>
    <col min="126" max="126" width="18.28515625" bestFit="1" customWidth="1"/>
    <col min="127" max="127" width="13.28515625" bestFit="1" customWidth="1"/>
    <col min="128" max="128" width="12.28515625" bestFit="1" customWidth="1"/>
    <col min="129" max="129" width="18.28515625" bestFit="1" customWidth="1"/>
    <col min="130" max="130" width="13.28515625" bestFit="1" customWidth="1"/>
    <col min="131" max="131" width="18.28515625" bestFit="1" customWidth="1"/>
    <col min="132" max="132" width="15.140625" bestFit="1" customWidth="1"/>
    <col min="133" max="133" width="11.5703125" bestFit="1" customWidth="1"/>
    <col min="134" max="134" width="18.28515625" bestFit="1" customWidth="1"/>
    <col min="135" max="135" width="13.28515625" bestFit="1" customWidth="1"/>
    <col min="136" max="136" width="18.28515625" bestFit="1" customWidth="1"/>
    <col min="137" max="137" width="15.140625" bestFit="1" customWidth="1"/>
    <col min="138" max="138" width="10.140625" bestFit="1" customWidth="1"/>
    <col min="139" max="139" width="18.28515625" bestFit="1" customWidth="1"/>
    <col min="140" max="140" width="15.140625" bestFit="1" customWidth="1"/>
    <col min="141" max="141" width="18.28515625" bestFit="1" customWidth="1"/>
    <col min="142" max="142" width="15.140625" bestFit="1" customWidth="1"/>
    <col min="143" max="143" width="12.28515625" bestFit="1" customWidth="1"/>
    <col min="144" max="144" width="18.28515625" bestFit="1" customWidth="1"/>
    <col min="145" max="145" width="13.28515625" bestFit="1" customWidth="1"/>
    <col min="146" max="146" width="18.28515625" bestFit="1" customWidth="1"/>
    <col min="147" max="147" width="15.140625" bestFit="1" customWidth="1"/>
    <col min="148" max="148" width="11.5703125" bestFit="1" customWidth="1"/>
    <col min="149" max="149" width="18.28515625" bestFit="1" customWidth="1"/>
    <col min="150" max="150" width="13.28515625" bestFit="1" customWidth="1"/>
    <col min="151" max="151" width="12.28515625" bestFit="1" customWidth="1"/>
    <col min="152" max="152" width="11.5703125" bestFit="1" customWidth="1"/>
    <col min="153" max="153" width="13.7109375" bestFit="1" customWidth="1"/>
    <col min="154" max="154" width="18.28515625" bestFit="1" customWidth="1"/>
    <col min="155" max="155" width="15.140625" bestFit="1" customWidth="1"/>
    <col min="156" max="156" width="10.140625" bestFit="1" customWidth="1"/>
    <col min="157" max="157" width="18.28515625" bestFit="1" customWidth="1"/>
    <col min="158" max="158" width="13.28515625" bestFit="1" customWidth="1"/>
    <col min="159" max="159" width="18.28515625" bestFit="1" customWidth="1"/>
    <col min="160" max="160" width="13.7109375" bestFit="1" customWidth="1"/>
    <col min="161" max="161" width="18.28515625" bestFit="1" customWidth="1"/>
    <col min="162" max="162" width="13.28515625" bestFit="1" customWidth="1"/>
    <col min="163" max="163" width="18.28515625" bestFit="1" customWidth="1"/>
    <col min="164" max="164" width="14.28515625" bestFit="1" customWidth="1"/>
    <col min="165" max="165" width="19.28515625" bestFit="1" customWidth="1"/>
    <col min="166" max="166" width="14.28515625" bestFit="1" customWidth="1"/>
    <col min="167" max="167" width="19.28515625" bestFit="1" customWidth="1"/>
    <col min="168" max="168" width="14.28515625" bestFit="1" customWidth="1"/>
    <col min="169" max="169" width="19.28515625" bestFit="1" customWidth="1"/>
    <col min="170" max="170" width="14.28515625" bestFit="1" customWidth="1"/>
    <col min="171" max="171" width="19.28515625" bestFit="1" customWidth="1"/>
    <col min="172" max="172" width="11.28515625" bestFit="1" customWidth="1"/>
    <col min="173" max="173" width="15.5703125" bestFit="1" customWidth="1"/>
    <col min="174" max="174" width="18.28515625" bestFit="1" customWidth="1"/>
    <col min="175" max="175" width="17" bestFit="1" customWidth="1"/>
    <col min="176" max="176" width="20.140625" bestFit="1" customWidth="1"/>
    <col min="177" max="177" width="18.28515625" bestFit="1" customWidth="1"/>
    <col min="178" max="178" width="15.140625" bestFit="1" customWidth="1"/>
    <col min="179" max="181" width="18.28515625" bestFit="1" customWidth="1"/>
    <col min="182" max="182" width="21.5703125" bestFit="1" customWidth="1"/>
    <col min="183" max="183" width="18.28515625" bestFit="1" customWidth="1"/>
    <col min="184" max="184" width="16.42578125" bestFit="1" customWidth="1"/>
    <col min="185" max="185" width="11.5703125" bestFit="1" customWidth="1"/>
    <col min="186" max="186" width="19.5703125" bestFit="1" customWidth="1"/>
    <col min="187" max="187" width="18.28515625" bestFit="1" customWidth="1"/>
    <col min="188" max="188" width="13.28515625" bestFit="1" customWidth="1"/>
    <col min="189" max="189" width="15" bestFit="1" customWidth="1"/>
    <col min="190" max="190" width="13.7109375" bestFit="1" customWidth="1"/>
    <col min="191" max="191" width="16.42578125" bestFit="1" customWidth="1"/>
    <col min="192" max="192" width="18.28515625" bestFit="1" customWidth="1"/>
    <col min="193" max="193" width="15" bestFit="1" customWidth="1"/>
    <col min="194" max="194" width="16.140625" bestFit="1" customWidth="1"/>
    <col min="195" max="195" width="18.28515625" bestFit="1" customWidth="1"/>
    <col min="196" max="196" width="15.85546875" bestFit="1" customWidth="1"/>
    <col min="197" max="197" width="19" bestFit="1" customWidth="1"/>
    <col min="198" max="199" width="18.28515625" bestFit="1" customWidth="1"/>
    <col min="200" max="200" width="21.5703125" bestFit="1" customWidth="1"/>
    <col min="201" max="201" width="18.28515625" bestFit="1" customWidth="1"/>
    <col min="202" max="202" width="15.85546875" bestFit="1" customWidth="1"/>
    <col min="203" max="203" width="19" bestFit="1" customWidth="1"/>
    <col min="204" max="204" width="13.28515625" bestFit="1" customWidth="1"/>
    <col min="205" max="205" width="16.42578125" bestFit="1" customWidth="1"/>
    <col min="206" max="206" width="18.28515625" bestFit="1" customWidth="1"/>
    <col min="207" max="207" width="21.5703125" bestFit="1" customWidth="1"/>
    <col min="208" max="208" width="18.28515625" bestFit="1" customWidth="1"/>
    <col min="209" max="209" width="17" bestFit="1" customWidth="1"/>
    <col min="210" max="210" width="20.140625" bestFit="1" customWidth="1"/>
    <col min="211" max="211" width="18.28515625" bestFit="1" customWidth="1"/>
    <col min="212" max="212" width="13.28515625" bestFit="1" customWidth="1"/>
    <col min="213" max="213" width="15.5703125" bestFit="1" customWidth="1"/>
    <col min="214" max="214" width="15.140625" bestFit="1" customWidth="1"/>
    <col min="215" max="215" width="16.42578125" bestFit="1" customWidth="1"/>
    <col min="216" max="216" width="18.28515625" bestFit="1" customWidth="1"/>
    <col min="217" max="217" width="13.28515625" bestFit="1" customWidth="1"/>
    <col min="218" max="218" width="16.140625" bestFit="1" customWidth="1"/>
    <col min="219" max="219" width="18.28515625" bestFit="1" customWidth="1"/>
    <col min="220" max="220" width="17" bestFit="1" customWidth="1"/>
    <col min="221" max="221" width="20.140625" bestFit="1" customWidth="1"/>
    <col min="222" max="222" width="15.140625" bestFit="1" customWidth="1"/>
    <col min="223" max="223" width="15.5703125" bestFit="1" customWidth="1"/>
    <col min="224" max="224" width="18.28515625" bestFit="1" customWidth="1"/>
    <col min="225" max="225" width="15.28515625" bestFit="1" customWidth="1"/>
    <col min="226" max="226" width="18.42578125" bestFit="1" customWidth="1"/>
    <col min="227" max="227" width="18.28515625" bestFit="1" customWidth="1"/>
    <col min="228" max="228" width="15.85546875" bestFit="1" customWidth="1"/>
    <col min="229" max="229" width="19" bestFit="1" customWidth="1"/>
    <col min="230" max="230" width="15.140625" bestFit="1" customWidth="1"/>
    <col min="231" max="231" width="15" bestFit="1" customWidth="1"/>
    <col min="232" max="232" width="18.28515625" bestFit="1" customWidth="1"/>
    <col min="233" max="233" width="13.28515625" bestFit="1" customWidth="1"/>
    <col min="234" max="234" width="15" bestFit="1" customWidth="1"/>
    <col min="235" max="236" width="18.28515625" bestFit="1" customWidth="1"/>
    <col min="237" max="237" width="21.5703125" bestFit="1" customWidth="1"/>
    <col min="238" max="238" width="15.140625" bestFit="1" customWidth="1"/>
    <col min="239" max="239" width="17" bestFit="1" customWidth="1"/>
    <col min="240" max="240" width="18.28515625" bestFit="1" customWidth="1"/>
    <col min="241" max="241" width="13.7109375" bestFit="1" customWidth="1"/>
    <col min="242" max="242" width="15" bestFit="1" customWidth="1"/>
    <col min="243" max="243" width="18.28515625" bestFit="1" customWidth="1"/>
    <col min="244" max="244" width="11.5703125" bestFit="1" customWidth="1"/>
    <col min="245" max="245" width="21.5703125" bestFit="1" customWidth="1"/>
    <col min="246" max="246" width="19.42578125" bestFit="1" customWidth="1"/>
    <col min="247" max="247" width="22.5703125" bestFit="1" customWidth="1"/>
    <col min="248" max="248" width="18.28515625" bestFit="1" customWidth="1"/>
    <col min="249" max="249" width="15.28515625" bestFit="1" customWidth="1"/>
    <col min="250" max="250" width="18.42578125" bestFit="1" customWidth="1"/>
    <col min="251" max="251" width="15.140625" bestFit="1" customWidth="1"/>
    <col min="252" max="253" width="18.28515625" bestFit="1" customWidth="1"/>
    <col min="254" max="254" width="15.85546875" bestFit="1" customWidth="1"/>
    <col min="255" max="255" width="19" bestFit="1" customWidth="1"/>
    <col min="256" max="256" width="18.28515625" bestFit="1" customWidth="1"/>
    <col min="257" max="257" width="17.5703125" bestFit="1" customWidth="1"/>
    <col min="258" max="258" width="20.7109375" bestFit="1" customWidth="1"/>
    <col min="259" max="259" width="18.28515625" bestFit="1" customWidth="1"/>
    <col min="260" max="260" width="13.28515625" bestFit="1" customWidth="1"/>
    <col min="261" max="261" width="15" bestFit="1" customWidth="1"/>
    <col min="262" max="262" width="18.28515625" bestFit="1" customWidth="1"/>
    <col min="263" max="263" width="17.5703125" bestFit="1" customWidth="1"/>
    <col min="264" max="264" width="20.7109375" bestFit="1" customWidth="1"/>
    <col min="265" max="265" width="19.28515625" bestFit="1" customWidth="1"/>
    <col min="266" max="266" width="17" bestFit="1" customWidth="1"/>
    <col min="267" max="267" width="20.140625" bestFit="1" customWidth="1"/>
    <col min="268" max="268" width="19.28515625" bestFit="1" customWidth="1"/>
    <col min="269" max="269" width="19.42578125" bestFit="1" customWidth="1"/>
    <col min="270" max="270" width="22.5703125" bestFit="1" customWidth="1"/>
    <col min="271" max="271" width="19.28515625" bestFit="1" customWidth="1"/>
    <col min="272" max="272" width="19.42578125" bestFit="1" customWidth="1"/>
    <col min="273" max="273" width="22.5703125" bestFit="1" customWidth="1"/>
    <col min="274" max="274" width="19.28515625" bestFit="1" customWidth="1"/>
    <col min="275" max="275" width="11.28515625" bestFit="1" customWidth="1"/>
  </cols>
  <sheetData>
    <row r="2" spans="1:11" x14ac:dyDescent="0.25">
      <c r="A2" t="s">
        <v>301</v>
      </c>
      <c r="D2" s="20" t="s">
        <v>299</v>
      </c>
      <c r="E2" t="s">
        <v>301</v>
      </c>
      <c r="G2" s="20" t="s">
        <v>299</v>
      </c>
      <c r="H2" t="s">
        <v>402</v>
      </c>
      <c r="J2" s="20" t="s">
        <v>299</v>
      </c>
      <c r="K2" t="s">
        <v>408</v>
      </c>
    </row>
    <row r="3" spans="1:11" x14ac:dyDescent="0.25">
      <c r="A3" s="16">
        <v>302680445</v>
      </c>
      <c r="D3" s="21" t="s">
        <v>234</v>
      </c>
      <c r="E3" s="22">
        <v>2.9584438466118947E-2</v>
      </c>
      <c r="G3" s="21" t="s">
        <v>233</v>
      </c>
      <c r="H3" s="16">
        <v>3500000</v>
      </c>
      <c r="J3" s="21" t="s">
        <v>119</v>
      </c>
      <c r="K3" s="22">
        <v>9.202453987730061E-2</v>
      </c>
    </row>
    <row r="4" spans="1:11" x14ac:dyDescent="0.25">
      <c r="D4" s="21" t="s">
        <v>406</v>
      </c>
      <c r="E4" s="22">
        <v>4.7347336891882794E-2</v>
      </c>
      <c r="G4" s="21" t="s">
        <v>67</v>
      </c>
      <c r="H4" s="16">
        <v>50000000</v>
      </c>
      <c r="J4" s="21" t="s">
        <v>68</v>
      </c>
      <c r="K4" s="22">
        <v>0.16739702015775634</v>
      </c>
    </row>
    <row r="5" spans="1:11" x14ac:dyDescent="0.25">
      <c r="A5" t="s">
        <v>403</v>
      </c>
      <c r="D5" s="21" t="s">
        <v>405</v>
      </c>
      <c r="E5" s="22">
        <v>7.2288122214172107E-2</v>
      </c>
      <c r="G5" s="21" t="s">
        <v>405</v>
      </c>
      <c r="H5" s="16">
        <v>11700000</v>
      </c>
      <c r="J5" s="21" t="s">
        <v>87</v>
      </c>
      <c r="K5" s="22">
        <v>0.18843120070113936</v>
      </c>
    </row>
    <row r="6" spans="1:11" x14ac:dyDescent="0.25">
      <c r="A6" s="16">
        <v>59500</v>
      </c>
      <c r="D6" s="21" t="s">
        <v>233</v>
      </c>
      <c r="E6" s="22">
        <v>8.4412456840414651E-2</v>
      </c>
      <c r="G6" s="21" t="s">
        <v>406</v>
      </c>
      <c r="H6" s="16">
        <v>2991113</v>
      </c>
      <c r="J6" s="21" t="s">
        <v>15</v>
      </c>
      <c r="K6" s="22">
        <v>0.26993865030674846</v>
      </c>
    </row>
    <row r="7" spans="1:11" x14ac:dyDescent="0.25">
      <c r="D7" s="21" t="s">
        <v>58</v>
      </c>
      <c r="E7" s="22">
        <v>0.11199930672759517</v>
      </c>
      <c r="G7" s="21" t="s">
        <v>234</v>
      </c>
      <c r="H7" s="16">
        <v>1530000</v>
      </c>
      <c r="J7" s="21" t="s">
        <v>250</v>
      </c>
      <c r="K7" s="22">
        <v>0.15425065731814197</v>
      </c>
    </row>
    <row r="8" spans="1:11" x14ac:dyDescent="0.25">
      <c r="A8" t="s">
        <v>402</v>
      </c>
      <c r="D8" s="21" t="s">
        <v>407</v>
      </c>
      <c r="E8" s="22">
        <v>0.21041828453767472</v>
      </c>
      <c r="G8" s="21" t="s">
        <v>58</v>
      </c>
      <c r="H8" s="16">
        <v>3000000</v>
      </c>
      <c r="J8" s="21" t="s">
        <v>61</v>
      </c>
      <c r="K8" s="22">
        <v>0.12795793163891322</v>
      </c>
    </row>
    <row r="9" spans="1:11" x14ac:dyDescent="0.25">
      <c r="A9" s="16">
        <v>50000000</v>
      </c>
      <c r="D9" s="21" t="s">
        <v>67</v>
      </c>
      <c r="E9" s="22">
        <v>0.44395005432214163</v>
      </c>
      <c r="G9" s="21" t="s">
        <v>407</v>
      </c>
      <c r="H9" s="16">
        <v>7000000</v>
      </c>
      <c r="J9" s="21" t="s">
        <v>300</v>
      </c>
      <c r="K9" s="22">
        <v>1</v>
      </c>
    </row>
    <row r="10" spans="1:11" x14ac:dyDescent="0.25">
      <c r="D10" s="21" t="s">
        <v>300</v>
      </c>
      <c r="E10" s="22">
        <v>1</v>
      </c>
      <c r="G10" s="21" t="s">
        <v>300</v>
      </c>
      <c r="H10" s="16">
        <v>50000000</v>
      </c>
    </row>
    <row r="11" spans="1:11" x14ac:dyDescent="0.25">
      <c r="A11" t="s">
        <v>404</v>
      </c>
    </row>
    <row r="12" spans="1:11" x14ac:dyDescent="0.25">
      <c r="A12" s="16">
        <v>3026804.45</v>
      </c>
      <c r="C12" s="13"/>
    </row>
    <row r="13" spans="1:11" x14ac:dyDescent="0.25">
      <c r="C13" s="13"/>
    </row>
    <row r="14" spans="1:11" x14ac:dyDescent="0.25">
      <c r="C14" s="13"/>
      <c r="D14" s="20" t="s">
        <v>299</v>
      </c>
      <c r="E14" t="s">
        <v>408</v>
      </c>
      <c r="G14" s="20" t="s">
        <v>299</v>
      </c>
      <c r="H14" t="s">
        <v>412</v>
      </c>
    </row>
    <row r="15" spans="1:11" x14ac:dyDescent="0.25">
      <c r="A15" t="s">
        <v>403</v>
      </c>
      <c r="C15" s="13"/>
      <c r="D15" s="21" t="s">
        <v>406</v>
      </c>
      <c r="E15" s="13">
        <v>82</v>
      </c>
      <c r="G15" s="21" t="s">
        <v>406</v>
      </c>
      <c r="H15">
        <v>8</v>
      </c>
    </row>
    <row r="16" spans="1:11" x14ac:dyDescent="0.25">
      <c r="A16" s="16">
        <v>59500</v>
      </c>
      <c r="C16" s="13"/>
      <c r="D16" s="21" t="s">
        <v>234</v>
      </c>
      <c r="E16" s="13">
        <v>105</v>
      </c>
      <c r="G16" s="21" t="s">
        <v>234</v>
      </c>
      <c r="H16">
        <v>12</v>
      </c>
    </row>
    <row r="17" spans="1:14" x14ac:dyDescent="0.25">
      <c r="C17" s="13"/>
      <c r="D17" s="21" t="s">
        <v>233</v>
      </c>
      <c r="E17" s="13">
        <v>146</v>
      </c>
      <c r="G17" s="21" t="s">
        <v>233</v>
      </c>
      <c r="H17">
        <v>13</v>
      </c>
    </row>
    <row r="18" spans="1:14" x14ac:dyDescent="0.25">
      <c r="C18" s="13"/>
      <c r="D18" s="21" t="s">
        <v>405</v>
      </c>
      <c r="E18" s="13">
        <v>176</v>
      </c>
      <c r="G18" s="21" t="s">
        <v>405</v>
      </c>
      <c r="H18">
        <v>14</v>
      </c>
    </row>
    <row r="19" spans="1:14" x14ac:dyDescent="0.25">
      <c r="A19" t="s">
        <v>408</v>
      </c>
      <c r="C19" s="13"/>
      <c r="D19" s="21" t="s">
        <v>67</v>
      </c>
      <c r="E19" s="13">
        <v>191</v>
      </c>
      <c r="G19" s="21" t="s">
        <v>67</v>
      </c>
      <c r="H19">
        <v>14</v>
      </c>
    </row>
    <row r="20" spans="1:14" x14ac:dyDescent="0.25">
      <c r="A20" s="13">
        <v>1141</v>
      </c>
      <c r="C20" s="13"/>
      <c r="D20" s="21" t="s">
        <v>407</v>
      </c>
      <c r="E20" s="13">
        <v>215</v>
      </c>
      <c r="G20" s="21" t="s">
        <v>407</v>
      </c>
      <c r="H20">
        <v>17</v>
      </c>
    </row>
    <row r="21" spans="1:14" x14ac:dyDescent="0.25">
      <c r="C21" s="13"/>
      <c r="D21" s="21" t="s">
        <v>58</v>
      </c>
      <c r="E21" s="13">
        <v>226</v>
      </c>
      <c r="G21" s="21" t="s">
        <v>58</v>
      </c>
      <c r="H21">
        <v>22</v>
      </c>
    </row>
    <row r="22" spans="1:14" x14ac:dyDescent="0.25">
      <c r="D22" s="21" t="s">
        <v>300</v>
      </c>
      <c r="E22" s="13">
        <v>1141</v>
      </c>
      <c r="G22" s="21" t="s">
        <v>300</v>
      </c>
      <c r="H22">
        <v>100</v>
      </c>
    </row>
    <row r="27" spans="1:14" x14ac:dyDescent="0.25">
      <c r="A27" s="20" t="s">
        <v>299</v>
      </c>
      <c r="B27" t="s">
        <v>408</v>
      </c>
      <c r="C27" t="s">
        <v>301</v>
      </c>
      <c r="E27" s="20" t="s">
        <v>299</v>
      </c>
      <c r="F27" t="s">
        <v>301</v>
      </c>
      <c r="I27" s="20" t="s">
        <v>408</v>
      </c>
      <c r="J27" s="20" t="s">
        <v>414</v>
      </c>
    </row>
    <row r="28" spans="1:14" x14ac:dyDescent="0.25">
      <c r="A28" s="21" t="s">
        <v>230</v>
      </c>
      <c r="B28" s="13">
        <v>10</v>
      </c>
      <c r="C28" s="16">
        <v>650000</v>
      </c>
      <c r="E28" s="21" t="s">
        <v>230</v>
      </c>
      <c r="F28" s="16">
        <v>650000</v>
      </c>
      <c r="I28" s="20" t="s">
        <v>299</v>
      </c>
      <c r="J28" t="s">
        <v>55</v>
      </c>
      <c r="K28" t="s">
        <v>41</v>
      </c>
      <c r="L28" t="s">
        <v>5</v>
      </c>
      <c r="M28" t="s">
        <v>33</v>
      </c>
      <c r="N28" t="s">
        <v>300</v>
      </c>
    </row>
    <row r="29" spans="1:14" x14ac:dyDescent="0.25">
      <c r="A29" s="21" t="s">
        <v>42</v>
      </c>
      <c r="B29" s="13">
        <v>124</v>
      </c>
      <c r="C29" s="16">
        <v>18690000</v>
      </c>
      <c r="E29" s="21" t="s">
        <v>229</v>
      </c>
      <c r="F29" s="16">
        <v>2850000</v>
      </c>
      <c r="I29" s="21" t="s">
        <v>230</v>
      </c>
      <c r="J29" s="13">
        <v>10</v>
      </c>
      <c r="K29" s="13"/>
      <c r="L29" s="13"/>
      <c r="M29" s="13"/>
      <c r="N29" s="13">
        <v>10</v>
      </c>
    </row>
    <row r="30" spans="1:14" x14ac:dyDescent="0.25">
      <c r="A30" s="21" t="s">
        <v>65</v>
      </c>
      <c r="B30" s="13">
        <v>224</v>
      </c>
      <c r="C30" s="16">
        <v>36226885</v>
      </c>
      <c r="E30" s="21" t="s">
        <v>231</v>
      </c>
      <c r="F30" s="16">
        <v>5250000</v>
      </c>
      <c r="I30" s="21" t="s">
        <v>42</v>
      </c>
      <c r="J30" s="13">
        <v>21</v>
      </c>
      <c r="K30" s="13">
        <v>35</v>
      </c>
      <c r="L30" s="13">
        <v>56</v>
      </c>
      <c r="M30" s="13">
        <v>12</v>
      </c>
      <c r="N30" s="13">
        <v>124</v>
      </c>
    </row>
    <row r="31" spans="1:14" x14ac:dyDescent="0.25">
      <c r="A31" s="21" t="s">
        <v>164</v>
      </c>
      <c r="B31" s="13">
        <v>195</v>
      </c>
      <c r="C31" s="16">
        <v>58707487</v>
      </c>
      <c r="E31" s="21" t="s">
        <v>42</v>
      </c>
      <c r="F31" s="16">
        <v>18690000</v>
      </c>
      <c r="I31" s="21" t="s">
        <v>65</v>
      </c>
      <c r="J31" s="13">
        <v>96</v>
      </c>
      <c r="K31" s="13">
        <v>22</v>
      </c>
      <c r="L31" s="13">
        <v>48</v>
      </c>
      <c r="M31" s="13">
        <v>58</v>
      </c>
      <c r="N31" s="13">
        <v>224</v>
      </c>
    </row>
    <row r="32" spans="1:14" x14ac:dyDescent="0.25">
      <c r="A32" s="21" t="s">
        <v>410</v>
      </c>
      <c r="B32" s="13">
        <v>177</v>
      </c>
      <c r="C32" s="16">
        <v>42610000</v>
      </c>
      <c r="E32" s="21" t="s">
        <v>212</v>
      </c>
      <c r="F32" s="16">
        <v>20919960</v>
      </c>
      <c r="I32" s="21" t="s">
        <v>164</v>
      </c>
      <c r="J32" s="13">
        <v>97</v>
      </c>
      <c r="K32" s="13">
        <v>27</v>
      </c>
      <c r="L32" s="13">
        <v>40</v>
      </c>
      <c r="M32" s="13">
        <v>31</v>
      </c>
      <c r="N32" s="13">
        <v>195</v>
      </c>
    </row>
    <row r="33" spans="1:14" x14ac:dyDescent="0.25">
      <c r="A33" s="21" t="s">
        <v>411</v>
      </c>
      <c r="B33" s="13">
        <v>151</v>
      </c>
      <c r="C33" s="16">
        <v>28986113</v>
      </c>
      <c r="E33" s="21" t="s">
        <v>411</v>
      </c>
      <c r="F33" s="16">
        <v>28986113</v>
      </c>
      <c r="I33" s="21" t="s">
        <v>410</v>
      </c>
      <c r="J33" s="13">
        <v>89</v>
      </c>
      <c r="K33" s="13">
        <v>25</v>
      </c>
      <c r="L33" s="13">
        <v>23</v>
      </c>
      <c r="M33" s="13">
        <v>40</v>
      </c>
      <c r="N33" s="13">
        <v>177</v>
      </c>
    </row>
    <row r="34" spans="1:14" x14ac:dyDescent="0.25">
      <c r="A34" s="21" t="s">
        <v>231</v>
      </c>
      <c r="B34" s="13">
        <v>15</v>
      </c>
      <c r="C34" s="16">
        <v>5250000</v>
      </c>
      <c r="E34" s="21" t="s">
        <v>65</v>
      </c>
      <c r="F34" s="16">
        <v>36226885</v>
      </c>
      <c r="I34" s="21" t="s">
        <v>411</v>
      </c>
      <c r="J34" s="13">
        <v>63</v>
      </c>
      <c r="K34" s="13">
        <v>49</v>
      </c>
      <c r="L34" s="13">
        <v>20</v>
      </c>
      <c r="M34" s="13">
        <v>19</v>
      </c>
      <c r="N34" s="13">
        <v>151</v>
      </c>
    </row>
    <row r="35" spans="1:14" x14ac:dyDescent="0.25">
      <c r="A35" s="21" t="s">
        <v>212</v>
      </c>
      <c r="B35" s="13">
        <v>105</v>
      </c>
      <c r="C35" s="16">
        <v>20919960</v>
      </c>
      <c r="E35" s="21" t="s">
        <v>410</v>
      </c>
      <c r="F35" s="16">
        <v>42610000</v>
      </c>
      <c r="I35" s="21" t="s">
        <v>231</v>
      </c>
      <c r="J35" s="13"/>
      <c r="K35" s="13"/>
      <c r="L35" s="13">
        <v>15</v>
      </c>
      <c r="M35" s="13"/>
      <c r="N35" s="13">
        <v>15</v>
      </c>
    </row>
    <row r="36" spans="1:14" x14ac:dyDescent="0.25">
      <c r="A36" s="21" t="s">
        <v>94</v>
      </c>
      <c r="B36" s="13">
        <v>121</v>
      </c>
      <c r="C36" s="16">
        <v>87790000</v>
      </c>
      <c r="E36" s="21" t="s">
        <v>164</v>
      </c>
      <c r="F36" s="16">
        <v>58707487</v>
      </c>
      <c r="I36" s="21" t="s">
        <v>212</v>
      </c>
      <c r="J36" s="13">
        <v>44</v>
      </c>
      <c r="K36" s="13">
        <v>30</v>
      </c>
      <c r="L36" s="13">
        <v>7</v>
      </c>
      <c r="M36" s="13">
        <v>24</v>
      </c>
      <c r="N36" s="13">
        <v>105</v>
      </c>
    </row>
    <row r="37" spans="1:14" x14ac:dyDescent="0.25">
      <c r="A37" s="21" t="s">
        <v>229</v>
      </c>
      <c r="B37" s="13">
        <v>19</v>
      </c>
      <c r="C37" s="16">
        <v>2850000</v>
      </c>
      <c r="E37" s="21" t="s">
        <v>94</v>
      </c>
      <c r="F37" s="16">
        <v>87790000</v>
      </c>
      <c r="I37" s="21" t="s">
        <v>94</v>
      </c>
      <c r="J37" s="13">
        <v>10</v>
      </c>
      <c r="K37" s="13">
        <v>8</v>
      </c>
      <c r="L37" s="13">
        <v>64</v>
      </c>
      <c r="M37" s="13">
        <v>39</v>
      </c>
      <c r="N37" s="13">
        <v>121</v>
      </c>
    </row>
    <row r="38" spans="1:14" x14ac:dyDescent="0.25">
      <c r="A38" s="21" t="s">
        <v>300</v>
      </c>
      <c r="B38" s="13">
        <v>1141</v>
      </c>
      <c r="C38" s="16">
        <v>302680445</v>
      </c>
      <c r="E38" s="21" t="s">
        <v>300</v>
      </c>
      <c r="F38" s="16">
        <v>302680445</v>
      </c>
      <c r="I38" s="21" t="s">
        <v>229</v>
      </c>
      <c r="J38" s="13"/>
      <c r="K38" s="13"/>
      <c r="L38" s="13">
        <v>19</v>
      </c>
      <c r="M38" s="13"/>
      <c r="N38" s="13">
        <v>19</v>
      </c>
    </row>
    <row r="39" spans="1:14" x14ac:dyDescent="0.25">
      <c r="I39" s="21" t="s">
        <v>300</v>
      </c>
      <c r="J39" s="13">
        <v>430</v>
      </c>
      <c r="K39" s="13">
        <v>196</v>
      </c>
      <c r="L39" s="13">
        <v>292</v>
      </c>
      <c r="M39" s="13">
        <v>223</v>
      </c>
      <c r="N39" s="13">
        <v>1141</v>
      </c>
    </row>
    <row r="41" spans="1:14" x14ac:dyDescent="0.25">
      <c r="A41" s="23" t="s">
        <v>299</v>
      </c>
      <c r="B41" s="23" t="s">
        <v>301</v>
      </c>
      <c r="D41" s="20" t="s">
        <v>299</v>
      </c>
      <c r="E41" t="s">
        <v>301</v>
      </c>
    </row>
    <row r="42" spans="1:14" x14ac:dyDescent="0.25">
      <c r="A42" s="21" t="s">
        <v>302</v>
      </c>
      <c r="B42" s="16">
        <v>20000000</v>
      </c>
      <c r="D42" s="21" t="s">
        <v>55</v>
      </c>
      <c r="E42" s="16">
        <v>79518498</v>
      </c>
    </row>
    <row r="43" spans="1:14" x14ac:dyDescent="0.25">
      <c r="A43" s="21" t="s">
        <v>303</v>
      </c>
      <c r="B43" s="16">
        <v>2100000</v>
      </c>
      <c r="D43" s="21" t="s">
        <v>41</v>
      </c>
      <c r="E43" s="16">
        <v>39490000</v>
      </c>
    </row>
    <row r="44" spans="1:14" x14ac:dyDescent="0.25">
      <c r="A44" s="21" t="s">
        <v>304</v>
      </c>
      <c r="B44" s="16">
        <v>2520000</v>
      </c>
      <c r="D44" s="21" t="s">
        <v>5</v>
      </c>
      <c r="E44" s="16">
        <v>68129460</v>
      </c>
    </row>
    <row r="45" spans="1:14" x14ac:dyDescent="0.25">
      <c r="A45" s="21" t="s">
        <v>305</v>
      </c>
      <c r="B45" s="16">
        <v>1170000</v>
      </c>
      <c r="D45" s="21" t="s">
        <v>33</v>
      </c>
      <c r="E45" s="16">
        <v>115542487</v>
      </c>
    </row>
    <row r="46" spans="1:14" x14ac:dyDescent="0.25">
      <c r="A46" s="21" t="s">
        <v>306</v>
      </c>
      <c r="B46" s="16">
        <v>900000</v>
      </c>
      <c r="D46" s="21" t="s">
        <v>300</v>
      </c>
      <c r="E46" s="16">
        <v>302680445</v>
      </c>
    </row>
    <row r="47" spans="1:14" x14ac:dyDescent="0.25">
      <c r="A47" s="21" t="s">
        <v>307</v>
      </c>
      <c r="B47" s="16">
        <v>2991113</v>
      </c>
    </row>
    <row r="48" spans="1:14" x14ac:dyDescent="0.25">
      <c r="A48" s="21" t="s">
        <v>308</v>
      </c>
      <c r="B48" s="16">
        <v>1050000</v>
      </c>
    </row>
    <row r="49" spans="1:9" x14ac:dyDescent="0.25">
      <c r="A49" s="21" t="s">
        <v>309</v>
      </c>
      <c r="B49" s="16">
        <v>130000</v>
      </c>
      <c r="D49" s="20" t="s">
        <v>299</v>
      </c>
      <c r="E49" t="s">
        <v>301</v>
      </c>
    </row>
    <row r="50" spans="1:9" x14ac:dyDescent="0.25">
      <c r="A50" s="21" t="s">
        <v>310</v>
      </c>
      <c r="B50" s="16">
        <v>2450000</v>
      </c>
      <c r="D50" s="21" t="s">
        <v>234</v>
      </c>
      <c r="E50" s="22">
        <v>2.9584438466118947E-2</v>
      </c>
    </row>
    <row r="51" spans="1:9" x14ac:dyDescent="0.25">
      <c r="A51" s="21" t="s">
        <v>311</v>
      </c>
      <c r="B51" s="16">
        <v>600000</v>
      </c>
      <c r="D51" s="21" t="s">
        <v>406</v>
      </c>
      <c r="E51" s="22">
        <v>4.7347336891882794E-2</v>
      </c>
    </row>
    <row r="52" spans="1:9" x14ac:dyDescent="0.25">
      <c r="A52" s="21" t="s">
        <v>312</v>
      </c>
      <c r="B52" s="16">
        <v>3000000</v>
      </c>
      <c r="D52" s="21" t="s">
        <v>405</v>
      </c>
      <c r="E52" s="22">
        <v>7.2288122214172107E-2</v>
      </c>
    </row>
    <row r="53" spans="1:9" x14ac:dyDescent="0.25">
      <c r="A53" s="21" t="s">
        <v>313</v>
      </c>
      <c r="B53" s="16">
        <v>510000</v>
      </c>
      <c r="D53" s="21" t="s">
        <v>233</v>
      </c>
      <c r="E53" s="22">
        <v>8.4412456840414651E-2</v>
      </c>
    </row>
    <row r="54" spans="1:9" x14ac:dyDescent="0.25">
      <c r="A54" s="21" t="s">
        <v>314</v>
      </c>
      <c r="B54" s="16">
        <v>150000</v>
      </c>
      <c r="D54" s="21" t="s">
        <v>58</v>
      </c>
      <c r="E54" s="22">
        <v>0.11199930672759517</v>
      </c>
    </row>
    <row r="55" spans="1:9" x14ac:dyDescent="0.25">
      <c r="A55" s="21" t="s">
        <v>315</v>
      </c>
      <c r="B55" s="16">
        <v>630000</v>
      </c>
      <c r="D55" s="21" t="s">
        <v>407</v>
      </c>
      <c r="E55" s="22">
        <v>0.21041828453767472</v>
      </c>
    </row>
    <row r="56" spans="1:9" x14ac:dyDescent="0.25">
      <c r="A56" s="21" t="s">
        <v>316</v>
      </c>
      <c r="B56" s="16">
        <v>170000</v>
      </c>
      <c r="D56" s="21" t="s">
        <v>67</v>
      </c>
      <c r="E56" s="22">
        <v>0.44395005432214163</v>
      </c>
    </row>
    <row r="57" spans="1:9" x14ac:dyDescent="0.25">
      <c r="A57" s="21" t="s">
        <v>317</v>
      </c>
      <c r="B57" s="16">
        <v>682385</v>
      </c>
      <c r="D57" s="21" t="s">
        <v>300</v>
      </c>
      <c r="E57" s="22">
        <v>1</v>
      </c>
    </row>
    <row r="58" spans="1:9" x14ac:dyDescent="0.25">
      <c r="A58" s="21" t="s">
        <v>318</v>
      </c>
      <c r="B58" s="16">
        <v>1750000</v>
      </c>
    </row>
    <row r="59" spans="1:9" x14ac:dyDescent="0.25">
      <c r="A59" s="21" t="s">
        <v>319</v>
      </c>
      <c r="B59" s="16">
        <v>600000</v>
      </c>
    </row>
    <row r="60" spans="1:9" x14ac:dyDescent="0.25">
      <c r="A60" s="21" t="s">
        <v>320</v>
      </c>
      <c r="B60" s="16">
        <v>525000</v>
      </c>
      <c r="H60" t="s">
        <v>420</v>
      </c>
    </row>
    <row r="61" spans="1:9" x14ac:dyDescent="0.25">
      <c r="A61" s="21" t="s">
        <v>321</v>
      </c>
      <c r="B61" s="16">
        <v>875000</v>
      </c>
    </row>
    <row r="62" spans="1:9" x14ac:dyDescent="0.25">
      <c r="A62" s="21" t="s">
        <v>322</v>
      </c>
      <c r="B62" s="16">
        <v>5000000</v>
      </c>
      <c r="D62" s="20" t="s">
        <v>418</v>
      </c>
      <c r="E62" t="s">
        <v>301</v>
      </c>
      <c r="H62" s="20" t="s">
        <v>418</v>
      </c>
      <c r="I62" t="s">
        <v>301</v>
      </c>
    </row>
    <row r="63" spans="1:9" x14ac:dyDescent="0.25">
      <c r="A63" s="21" t="s">
        <v>323</v>
      </c>
      <c r="B63" s="16">
        <v>350000</v>
      </c>
      <c r="D63" s="21" t="s">
        <v>417</v>
      </c>
      <c r="E63" s="16">
        <v>2195000</v>
      </c>
      <c r="H63" s="21" t="s">
        <v>43</v>
      </c>
      <c r="I63" s="16">
        <v>89559500</v>
      </c>
    </row>
    <row r="64" spans="1:9" x14ac:dyDescent="0.25">
      <c r="A64" s="21" t="s">
        <v>324</v>
      </c>
      <c r="B64" s="16">
        <v>3000000</v>
      </c>
      <c r="D64" s="21" t="s">
        <v>36</v>
      </c>
      <c r="E64" s="16">
        <v>11480000</v>
      </c>
      <c r="H64" s="21" t="s">
        <v>287</v>
      </c>
      <c r="I64" s="16">
        <v>31715000</v>
      </c>
    </row>
    <row r="65" spans="1:9" x14ac:dyDescent="0.25">
      <c r="A65" s="21" t="s">
        <v>325</v>
      </c>
      <c r="B65" s="16">
        <v>1200000</v>
      </c>
      <c r="D65" s="21" t="s">
        <v>287</v>
      </c>
      <c r="E65" s="16">
        <v>31715000</v>
      </c>
      <c r="H65" s="21" t="s">
        <v>138</v>
      </c>
      <c r="I65" s="16">
        <v>31117487</v>
      </c>
    </row>
    <row r="66" spans="1:9" x14ac:dyDescent="0.25">
      <c r="A66" s="21" t="s">
        <v>326</v>
      </c>
      <c r="B66" s="16">
        <v>4750000</v>
      </c>
      <c r="D66" s="21" t="s">
        <v>172</v>
      </c>
      <c r="E66" s="16">
        <v>15300000</v>
      </c>
      <c r="H66" s="21" t="s">
        <v>300</v>
      </c>
      <c r="I66" s="16">
        <v>152391987</v>
      </c>
    </row>
    <row r="67" spans="1:9" x14ac:dyDescent="0.25">
      <c r="A67" s="21" t="s">
        <v>327</v>
      </c>
      <c r="B67" s="16">
        <v>2100000</v>
      </c>
      <c r="D67" s="21" t="s">
        <v>270</v>
      </c>
      <c r="E67" s="16">
        <v>17965000</v>
      </c>
    </row>
    <row r="68" spans="1:9" x14ac:dyDescent="0.25">
      <c r="A68" s="21" t="s">
        <v>328</v>
      </c>
      <c r="B68" s="16">
        <v>935000</v>
      </c>
      <c r="D68" s="21" t="s">
        <v>138</v>
      </c>
      <c r="E68" s="16">
        <v>31117487</v>
      </c>
    </row>
    <row r="69" spans="1:9" x14ac:dyDescent="0.25">
      <c r="A69" s="21" t="s">
        <v>329</v>
      </c>
      <c r="B69" s="16">
        <v>1105000</v>
      </c>
      <c r="D69" s="21" t="s">
        <v>278</v>
      </c>
      <c r="E69" s="16">
        <v>23270000</v>
      </c>
      <c r="G69" s="21"/>
      <c r="H69" t="s">
        <v>419</v>
      </c>
    </row>
    <row r="70" spans="1:9" x14ac:dyDescent="0.25">
      <c r="A70" s="21" t="s">
        <v>330</v>
      </c>
      <c r="B70" s="16">
        <v>5250000</v>
      </c>
      <c r="D70" s="21" t="s">
        <v>282</v>
      </c>
      <c r="E70" s="16">
        <v>10125000</v>
      </c>
    </row>
    <row r="71" spans="1:9" x14ac:dyDescent="0.25">
      <c r="A71" s="21" t="s">
        <v>331</v>
      </c>
      <c r="B71" s="16">
        <v>2800000</v>
      </c>
      <c r="D71" s="21" t="s">
        <v>73</v>
      </c>
      <c r="E71" s="16">
        <v>12435000</v>
      </c>
      <c r="H71" s="20" t="s">
        <v>418</v>
      </c>
      <c r="I71" t="s">
        <v>301</v>
      </c>
    </row>
    <row r="72" spans="1:9" x14ac:dyDescent="0.25">
      <c r="A72" s="21" t="s">
        <v>332</v>
      </c>
      <c r="B72" s="16">
        <v>4900000</v>
      </c>
      <c r="D72" s="21" t="s">
        <v>12</v>
      </c>
      <c r="E72" s="16">
        <v>27191113</v>
      </c>
      <c r="H72" s="21" t="s">
        <v>417</v>
      </c>
      <c r="I72" s="16">
        <v>2195000</v>
      </c>
    </row>
    <row r="73" spans="1:9" x14ac:dyDescent="0.25">
      <c r="A73" s="21" t="s">
        <v>333</v>
      </c>
      <c r="B73" s="16">
        <v>1800000</v>
      </c>
      <c r="D73" s="21" t="s">
        <v>43</v>
      </c>
      <c r="E73" s="16">
        <v>89559500</v>
      </c>
      <c r="H73" s="21" t="s">
        <v>240</v>
      </c>
      <c r="I73" s="16">
        <v>8064960</v>
      </c>
    </row>
    <row r="74" spans="1:9" x14ac:dyDescent="0.25">
      <c r="A74" s="21" t="s">
        <v>334</v>
      </c>
      <c r="B74" s="16">
        <v>1400000</v>
      </c>
      <c r="D74" s="21" t="s">
        <v>416</v>
      </c>
      <c r="E74" s="16">
        <v>12027385</v>
      </c>
      <c r="H74" s="21" t="s">
        <v>282</v>
      </c>
      <c r="I74" s="16">
        <v>10125000</v>
      </c>
    </row>
    <row r="75" spans="1:9" x14ac:dyDescent="0.25">
      <c r="A75" s="21" t="s">
        <v>335</v>
      </c>
      <c r="B75" s="16">
        <v>900000</v>
      </c>
      <c r="D75" s="21" t="s">
        <v>240</v>
      </c>
      <c r="E75" s="16">
        <v>8064960</v>
      </c>
      <c r="H75" s="21" t="s">
        <v>300</v>
      </c>
      <c r="I75" s="16">
        <v>20384960</v>
      </c>
    </row>
    <row r="76" spans="1:9" x14ac:dyDescent="0.25">
      <c r="A76" s="21" t="s">
        <v>336</v>
      </c>
      <c r="B76" s="16">
        <v>50000000</v>
      </c>
      <c r="D76" s="21" t="s">
        <v>415</v>
      </c>
      <c r="E76" s="16">
        <v>10235000</v>
      </c>
    </row>
    <row r="77" spans="1:9" x14ac:dyDescent="0.25">
      <c r="A77" s="21" t="s">
        <v>337</v>
      </c>
      <c r="B77" s="16">
        <v>780000</v>
      </c>
      <c r="D77" s="21" t="s">
        <v>300</v>
      </c>
      <c r="E77" s="16">
        <v>302680445</v>
      </c>
    </row>
    <row r="78" spans="1:9" x14ac:dyDescent="0.25">
      <c r="A78" s="21" t="s">
        <v>338</v>
      </c>
      <c r="B78" s="16">
        <v>294960</v>
      </c>
    </row>
    <row r="79" spans="1:9" x14ac:dyDescent="0.25">
      <c r="A79" s="21" t="s">
        <v>339</v>
      </c>
      <c r="B79" s="16">
        <v>3150000</v>
      </c>
    </row>
    <row r="80" spans="1:9" x14ac:dyDescent="0.25">
      <c r="A80" s="21" t="s">
        <v>340</v>
      </c>
      <c r="B80" s="16">
        <v>1800000</v>
      </c>
    </row>
    <row r="81" spans="1:2" x14ac:dyDescent="0.25">
      <c r="A81" s="21" t="s">
        <v>341</v>
      </c>
      <c r="B81" s="16">
        <v>650000</v>
      </c>
    </row>
    <row r="82" spans="1:2" x14ac:dyDescent="0.25">
      <c r="A82" s="21" t="s">
        <v>342</v>
      </c>
      <c r="B82" s="16">
        <v>450000</v>
      </c>
    </row>
    <row r="83" spans="1:2" x14ac:dyDescent="0.25">
      <c r="A83" s="21" t="s">
        <v>343</v>
      </c>
      <c r="B83" s="16">
        <v>1440000</v>
      </c>
    </row>
    <row r="84" spans="1:2" x14ac:dyDescent="0.25">
      <c r="A84" s="21" t="s">
        <v>344</v>
      </c>
      <c r="B84" s="16">
        <v>750000</v>
      </c>
    </row>
    <row r="85" spans="1:2" x14ac:dyDescent="0.25">
      <c r="A85" s="21" t="s">
        <v>345</v>
      </c>
      <c r="B85" s="16">
        <v>1530000</v>
      </c>
    </row>
    <row r="86" spans="1:2" x14ac:dyDescent="0.25">
      <c r="A86" s="21" t="s">
        <v>346</v>
      </c>
      <c r="B86" s="16">
        <v>1350000</v>
      </c>
    </row>
    <row r="87" spans="1:2" x14ac:dyDescent="0.25">
      <c r="A87" s="21" t="s">
        <v>347</v>
      </c>
      <c r="B87" s="16">
        <v>2700000</v>
      </c>
    </row>
    <row r="88" spans="1:2" x14ac:dyDescent="0.25">
      <c r="A88" s="21" t="s">
        <v>348</v>
      </c>
      <c r="B88" s="16">
        <v>1650000</v>
      </c>
    </row>
    <row r="89" spans="1:2" x14ac:dyDescent="0.25">
      <c r="A89" s="21" t="s">
        <v>349</v>
      </c>
      <c r="B89" s="16">
        <v>1400000</v>
      </c>
    </row>
    <row r="90" spans="1:2" x14ac:dyDescent="0.25">
      <c r="A90" s="21" t="s">
        <v>350</v>
      </c>
      <c r="B90" s="16">
        <v>2850000</v>
      </c>
    </row>
    <row r="91" spans="1:2" x14ac:dyDescent="0.25">
      <c r="A91" s="21" t="s">
        <v>351</v>
      </c>
      <c r="B91" s="16">
        <v>595000</v>
      </c>
    </row>
    <row r="92" spans="1:2" x14ac:dyDescent="0.25">
      <c r="A92" s="21" t="s">
        <v>352</v>
      </c>
      <c r="B92" s="16">
        <v>752856</v>
      </c>
    </row>
    <row r="93" spans="1:2" x14ac:dyDescent="0.25">
      <c r="A93" s="21" t="s">
        <v>353</v>
      </c>
      <c r="B93" s="16">
        <v>11700000</v>
      </c>
    </row>
    <row r="94" spans="1:2" x14ac:dyDescent="0.25">
      <c r="A94" s="21" t="s">
        <v>354</v>
      </c>
      <c r="B94" s="16">
        <v>325000</v>
      </c>
    </row>
    <row r="95" spans="1:2" x14ac:dyDescent="0.25">
      <c r="A95" s="21" t="s">
        <v>355</v>
      </c>
      <c r="B95" s="16">
        <v>4550000</v>
      </c>
    </row>
    <row r="96" spans="1:2" x14ac:dyDescent="0.25">
      <c r="A96" s="21" t="s">
        <v>356</v>
      </c>
      <c r="B96" s="16">
        <v>6650000</v>
      </c>
    </row>
    <row r="97" spans="1:2" x14ac:dyDescent="0.25">
      <c r="A97" s="21" t="s">
        <v>357</v>
      </c>
      <c r="B97" s="16">
        <v>1620000</v>
      </c>
    </row>
    <row r="98" spans="1:2" x14ac:dyDescent="0.25">
      <c r="A98" s="21" t="s">
        <v>358</v>
      </c>
      <c r="B98" s="16">
        <v>1500000</v>
      </c>
    </row>
    <row r="99" spans="1:2" x14ac:dyDescent="0.25">
      <c r="A99" s="21" t="s">
        <v>359</v>
      </c>
      <c r="B99" s="16">
        <v>850000</v>
      </c>
    </row>
    <row r="100" spans="1:2" x14ac:dyDescent="0.25">
      <c r="A100" s="21" t="s">
        <v>360</v>
      </c>
      <c r="B100" s="16">
        <v>125000</v>
      </c>
    </row>
    <row r="101" spans="1:2" x14ac:dyDescent="0.25">
      <c r="A101" s="21" t="s">
        <v>361</v>
      </c>
      <c r="B101" s="16">
        <v>150000</v>
      </c>
    </row>
    <row r="102" spans="1:2" x14ac:dyDescent="0.25">
      <c r="A102" s="21" t="s">
        <v>362</v>
      </c>
      <c r="B102" s="16">
        <v>3000000</v>
      </c>
    </row>
    <row r="103" spans="1:2" x14ac:dyDescent="0.25">
      <c r="A103" s="21" t="s">
        <v>363</v>
      </c>
      <c r="B103" s="16">
        <v>3850000</v>
      </c>
    </row>
    <row r="104" spans="1:2" x14ac:dyDescent="0.25">
      <c r="A104" s="21" t="s">
        <v>364</v>
      </c>
      <c r="B104" s="16">
        <v>3500000</v>
      </c>
    </row>
    <row r="105" spans="1:2" x14ac:dyDescent="0.25">
      <c r="A105" s="21" t="s">
        <v>365</v>
      </c>
      <c r="B105" s="16">
        <v>450000</v>
      </c>
    </row>
    <row r="106" spans="1:2" x14ac:dyDescent="0.25">
      <c r="A106" s="21" t="s">
        <v>366</v>
      </c>
      <c r="B106" s="16">
        <v>510000</v>
      </c>
    </row>
    <row r="107" spans="1:2" x14ac:dyDescent="0.25">
      <c r="A107" s="21" t="s">
        <v>367</v>
      </c>
      <c r="B107" s="16">
        <v>5250000</v>
      </c>
    </row>
    <row r="108" spans="1:2" x14ac:dyDescent="0.25">
      <c r="A108" s="21" t="s">
        <v>368</v>
      </c>
      <c r="B108" s="16">
        <v>2400000</v>
      </c>
    </row>
    <row r="109" spans="1:2" x14ac:dyDescent="0.25">
      <c r="A109" s="21" t="s">
        <v>369</v>
      </c>
      <c r="B109" s="16">
        <v>1400000</v>
      </c>
    </row>
    <row r="110" spans="1:2" x14ac:dyDescent="0.25">
      <c r="A110" s="21" t="s">
        <v>370</v>
      </c>
      <c r="B110" s="16">
        <v>170000</v>
      </c>
    </row>
    <row r="111" spans="1:2" x14ac:dyDescent="0.25">
      <c r="A111" s="21" t="s">
        <v>371</v>
      </c>
      <c r="B111" s="16">
        <v>3250000</v>
      </c>
    </row>
    <row r="112" spans="1:2" x14ac:dyDescent="0.25">
      <c r="A112" s="21" t="s">
        <v>372</v>
      </c>
      <c r="B112" s="16">
        <v>715000</v>
      </c>
    </row>
    <row r="113" spans="1:2" x14ac:dyDescent="0.25">
      <c r="A113" s="21" t="s">
        <v>373</v>
      </c>
      <c r="B113" s="16">
        <v>59500</v>
      </c>
    </row>
    <row r="114" spans="1:2" x14ac:dyDescent="0.25">
      <c r="A114" s="21" t="s">
        <v>374</v>
      </c>
      <c r="B114" s="16">
        <v>1170000</v>
      </c>
    </row>
    <row r="115" spans="1:2" x14ac:dyDescent="0.25">
      <c r="A115" s="21" t="s">
        <v>375</v>
      </c>
      <c r="B115" s="16">
        <v>2340000</v>
      </c>
    </row>
    <row r="116" spans="1:2" x14ac:dyDescent="0.25">
      <c r="A116" s="21" t="s">
        <v>376</v>
      </c>
      <c r="B116" s="16">
        <v>1750000</v>
      </c>
    </row>
    <row r="117" spans="1:2" x14ac:dyDescent="0.25">
      <c r="A117" s="21" t="s">
        <v>377</v>
      </c>
      <c r="B117" s="16">
        <v>425000</v>
      </c>
    </row>
    <row r="118" spans="1:2" x14ac:dyDescent="0.25">
      <c r="A118" s="21" t="s">
        <v>378</v>
      </c>
      <c r="B118" s="16">
        <v>5950000</v>
      </c>
    </row>
    <row r="119" spans="1:2" x14ac:dyDescent="0.25">
      <c r="A119" s="21" t="s">
        <v>379</v>
      </c>
      <c r="B119" s="16">
        <v>4550000</v>
      </c>
    </row>
    <row r="120" spans="1:2" x14ac:dyDescent="0.25">
      <c r="A120" s="21" t="s">
        <v>380</v>
      </c>
      <c r="B120" s="16">
        <v>2800000</v>
      </c>
    </row>
    <row r="121" spans="1:2" x14ac:dyDescent="0.25">
      <c r="A121" s="21" t="s">
        <v>381</v>
      </c>
      <c r="B121" s="16">
        <v>1105000</v>
      </c>
    </row>
    <row r="122" spans="1:2" x14ac:dyDescent="0.25">
      <c r="A122" s="21" t="s">
        <v>382</v>
      </c>
      <c r="B122" s="16">
        <v>2550000</v>
      </c>
    </row>
    <row r="123" spans="1:2" x14ac:dyDescent="0.25">
      <c r="A123" s="21" t="s">
        <v>383</v>
      </c>
      <c r="B123" s="16">
        <v>1235000</v>
      </c>
    </row>
    <row r="124" spans="1:2" x14ac:dyDescent="0.25">
      <c r="A124" s="21" t="s">
        <v>384</v>
      </c>
      <c r="B124" s="16">
        <v>150000</v>
      </c>
    </row>
    <row r="125" spans="1:2" x14ac:dyDescent="0.25">
      <c r="A125" s="21" t="s">
        <v>385</v>
      </c>
      <c r="B125" s="16">
        <v>3250000</v>
      </c>
    </row>
    <row r="126" spans="1:2" x14ac:dyDescent="0.25">
      <c r="A126" s="21" t="s">
        <v>386</v>
      </c>
      <c r="B126" s="16">
        <v>1170000</v>
      </c>
    </row>
    <row r="127" spans="1:2" x14ac:dyDescent="0.25">
      <c r="A127" s="21" t="s">
        <v>387</v>
      </c>
      <c r="B127" s="16">
        <v>5000000</v>
      </c>
    </row>
    <row r="128" spans="1:2" x14ac:dyDescent="0.25">
      <c r="A128" s="21" t="s">
        <v>388</v>
      </c>
      <c r="B128" s="16">
        <v>720000</v>
      </c>
    </row>
    <row r="129" spans="1:2" x14ac:dyDescent="0.25">
      <c r="A129" s="21" t="s">
        <v>389</v>
      </c>
      <c r="B129" s="16">
        <v>750000</v>
      </c>
    </row>
    <row r="130" spans="1:2" x14ac:dyDescent="0.25">
      <c r="A130" s="21" t="s">
        <v>390</v>
      </c>
      <c r="B130" s="16">
        <v>27500000</v>
      </c>
    </row>
    <row r="131" spans="1:2" x14ac:dyDescent="0.25">
      <c r="A131" s="21" t="s">
        <v>391</v>
      </c>
      <c r="B131" s="16">
        <v>5000000</v>
      </c>
    </row>
    <row r="132" spans="1:2" x14ac:dyDescent="0.25">
      <c r="A132" s="21" t="s">
        <v>392</v>
      </c>
      <c r="B132" s="16">
        <v>624631</v>
      </c>
    </row>
    <row r="133" spans="1:2" x14ac:dyDescent="0.25">
      <c r="A133" s="21" t="s">
        <v>393</v>
      </c>
      <c r="B133" s="16">
        <v>1250000</v>
      </c>
    </row>
    <row r="134" spans="1:2" x14ac:dyDescent="0.25">
      <c r="A134" s="21" t="s">
        <v>394</v>
      </c>
      <c r="B134" s="16">
        <v>3325000</v>
      </c>
    </row>
    <row r="135" spans="1:2" x14ac:dyDescent="0.25">
      <c r="A135" s="21" t="s">
        <v>395</v>
      </c>
      <c r="B135" s="16">
        <v>4900000</v>
      </c>
    </row>
    <row r="136" spans="1:2" x14ac:dyDescent="0.25">
      <c r="A136" s="21" t="s">
        <v>396</v>
      </c>
      <c r="B136" s="16">
        <v>3500000</v>
      </c>
    </row>
    <row r="137" spans="1:2" x14ac:dyDescent="0.25">
      <c r="A137" s="21" t="s">
        <v>397</v>
      </c>
      <c r="B137" s="16">
        <v>1530000</v>
      </c>
    </row>
    <row r="138" spans="1:2" x14ac:dyDescent="0.25">
      <c r="A138" s="21" t="s">
        <v>398</v>
      </c>
      <c r="B138" s="16">
        <v>2975000</v>
      </c>
    </row>
    <row r="139" spans="1:2" x14ac:dyDescent="0.25">
      <c r="A139" s="21" t="s">
        <v>399</v>
      </c>
      <c r="B139" s="16">
        <v>5000000</v>
      </c>
    </row>
    <row r="140" spans="1:2" x14ac:dyDescent="0.25">
      <c r="A140" s="21" t="s">
        <v>400</v>
      </c>
      <c r="B140" s="16">
        <v>7000000</v>
      </c>
    </row>
    <row r="141" spans="1:2" x14ac:dyDescent="0.25">
      <c r="A141" s="21" t="s">
        <v>401</v>
      </c>
      <c r="B141" s="16">
        <v>2700000</v>
      </c>
    </row>
    <row r="142" spans="1:2" x14ac:dyDescent="0.25">
      <c r="A142" s="24" t="s">
        <v>300</v>
      </c>
      <c r="B142" s="25">
        <v>302680445</v>
      </c>
    </row>
  </sheetData>
  <pageMargins left="0.7" right="0.7" top="0.75" bottom="0.75" header="0.3" footer="0.3"/>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F9079-D009-44E9-970C-C1595E045A15}">
  <dimension ref="A3:E14"/>
  <sheetViews>
    <sheetView topLeftCell="C1" zoomScaleNormal="100" workbookViewId="0">
      <selection activeCell="H7" sqref="H7"/>
    </sheetView>
  </sheetViews>
  <sheetFormatPr defaultRowHeight="15" x14ac:dyDescent="0.25"/>
  <cols>
    <col min="1" max="1" width="18.85546875" bestFit="1" customWidth="1"/>
    <col min="2" max="2" width="18.28515625" bestFit="1" customWidth="1"/>
    <col min="4" max="4" width="18.85546875" bestFit="1" customWidth="1"/>
    <col min="5" max="5" width="18.28515625" bestFit="1" customWidth="1"/>
    <col min="6" max="6" width="19.85546875" bestFit="1" customWidth="1"/>
    <col min="7" max="7" width="15.140625" bestFit="1" customWidth="1"/>
    <col min="8" max="8" width="12.28515625" bestFit="1" customWidth="1"/>
    <col min="9" max="9" width="11.5703125" bestFit="1" customWidth="1"/>
    <col min="10" max="10" width="13.7109375" bestFit="1" customWidth="1"/>
    <col min="11" max="12" width="10.140625" bestFit="1" customWidth="1"/>
    <col min="13" max="13" width="9.42578125" bestFit="1" customWidth="1"/>
    <col min="14" max="14" width="15" bestFit="1" customWidth="1"/>
    <col min="15" max="15" width="11.28515625" bestFit="1" customWidth="1"/>
    <col min="16" max="20" width="11.5703125" bestFit="1" customWidth="1"/>
    <col min="21" max="21" width="13.28515625" bestFit="1" customWidth="1"/>
    <col min="22" max="24" width="11.5703125" bestFit="1" customWidth="1"/>
    <col min="25" max="25" width="13.28515625" bestFit="1" customWidth="1"/>
    <col min="26" max="26" width="11.5703125" bestFit="1" customWidth="1"/>
    <col min="27" max="30" width="13.28515625" bestFit="1" customWidth="1"/>
    <col min="31" max="31" width="11.5703125" bestFit="1" customWidth="1"/>
    <col min="32" max="37" width="13.28515625" bestFit="1" customWidth="1"/>
    <col min="38" max="38" width="11.5703125" bestFit="1" customWidth="1"/>
    <col min="39" max="39" width="14.28515625" bestFit="1" customWidth="1"/>
    <col min="40" max="41" width="11.5703125" bestFit="1" customWidth="1"/>
    <col min="42" max="43" width="13.28515625" bestFit="1" customWidth="1"/>
    <col min="44" max="45" width="11.5703125" bestFit="1" customWidth="1"/>
    <col min="46" max="46" width="13.28515625" bestFit="1" customWidth="1"/>
    <col min="47" max="47" width="11.5703125" bestFit="1" customWidth="1"/>
    <col min="48" max="53" width="13.28515625" bestFit="1" customWidth="1"/>
    <col min="54" max="55" width="11.5703125" bestFit="1" customWidth="1"/>
    <col min="56" max="56" width="14.28515625" bestFit="1" customWidth="1"/>
    <col min="57" max="57" width="11.5703125" bestFit="1" customWidth="1"/>
    <col min="58" max="61" width="13.28515625" bestFit="1" customWidth="1"/>
    <col min="62" max="64" width="11.5703125" bestFit="1" customWidth="1"/>
    <col min="65" max="67" width="13.28515625" bestFit="1" customWidth="1"/>
    <col min="68" max="69" width="11.5703125" bestFit="1" customWidth="1"/>
    <col min="70" max="72" width="13.28515625" bestFit="1" customWidth="1"/>
    <col min="73" max="73" width="11.5703125" bestFit="1" customWidth="1"/>
    <col min="74" max="74" width="13.28515625" bestFit="1" customWidth="1"/>
    <col min="75" max="75" width="11.5703125" bestFit="1" customWidth="1"/>
    <col min="76" max="76" width="10.5703125" bestFit="1" customWidth="1"/>
    <col min="77" max="79" width="13.28515625" bestFit="1" customWidth="1"/>
    <col min="80" max="80" width="11.5703125" bestFit="1" customWidth="1"/>
    <col min="81" max="86" width="13.28515625" bestFit="1" customWidth="1"/>
    <col min="87" max="87" width="11.5703125" bestFit="1" customWidth="1"/>
    <col min="88" max="90" width="13.28515625" bestFit="1" customWidth="1"/>
    <col min="91" max="92" width="11.5703125" bestFit="1" customWidth="1"/>
    <col min="93" max="93" width="14.28515625" bestFit="1" customWidth="1"/>
    <col min="94" max="94" width="13.28515625" bestFit="1" customWidth="1"/>
    <col min="95" max="95" width="11.5703125" bestFit="1" customWidth="1"/>
    <col min="96" max="104" width="13.28515625" bestFit="1" customWidth="1"/>
    <col min="105" max="105" width="15.28515625" bestFit="1" customWidth="1"/>
  </cols>
  <sheetData>
    <row r="3" spans="1:5" x14ac:dyDescent="0.25">
      <c r="A3" s="20" t="s">
        <v>299</v>
      </c>
      <c r="B3" t="s">
        <v>301</v>
      </c>
      <c r="D3" t="s">
        <v>408</v>
      </c>
      <c r="E3" t="s">
        <v>301</v>
      </c>
    </row>
    <row r="4" spans="1:5" x14ac:dyDescent="0.25">
      <c r="A4" s="21" t="s">
        <v>55</v>
      </c>
      <c r="B4" s="16">
        <v>79518498</v>
      </c>
      <c r="D4" s="13">
        <v>1141</v>
      </c>
      <c r="E4" s="16">
        <v>302680445</v>
      </c>
    </row>
    <row r="5" spans="1:5" x14ac:dyDescent="0.25">
      <c r="A5" s="21" t="s">
        <v>41</v>
      </c>
      <c r="B5" s="16">
        <v>39490000</v>
      </c>
    </row>
    <row r="6" spans="1:5" x14ac:dyDescent="0.25">
      <c r="A6" s="21" t="s">
        <v>5</v>
      </c>
      <c r="B6" s="16">
        <v>68129460</v>
      </c>
      <c r="D6" s="20" t="s">
        <v>234</v>
      </c>
      <c r="E6" t="s">
        <v>301</v>
      </c>
    </row>
    <row r="7" spans="1:5" x14ac:dyDescent="0.25">
      <c r="A7" s="21" t="s">
        <v>33</v>
      </c>
      <c r="B7" s="16">
        <v>115542487</v>
      </c>
      <c r="D7" s="21" t="s">
        <v>234</v>
      </c>
      <c r="E7" s="22">
        <v>2.9584438466118947E-2</v>
      </c>
    </row>
    <row r="8" spans="1:5" x14ac:dyDescent="0.25">
      <c r="A8" s="21" t="s">
        <v>300</v>
      </c>
      <c r="B8" s="16">
        <v>302680445</v>
      </c>
      <c r="D8" s="21" t="s">
        <v>406</v>
      </c>
      <c r="E8" s="22">
        <v>4.7347336891882794E-2</v>
      </c>
    </row>
    <row r="9" spans="1:5" x14ac:dyDescent="0.25">
      <c r="D9" s="21" t="s">
        <v>405</v>
      </c>
      <c r="E9" s="22">
        <v>7.2288122214172107E-2</v>
      </c>
    </row>
    <row r="10" spans="1:5" x14ac:dyDescent="0.25">
      <c r="A10" t="s">
        <v>408</v>
      </c>
      <c r="D10" s="21" t="s">
        <v>233</v>
      </c>
      <c r="E10" s="22">
        <v>8.4412456840414651E-2</v>
      </c>
    </row>
    <row r="11" spans="1:5" x14ac:dyDescent="0.25">
      <c r="A11" s="13">
        <v>1141</v>
      </c>
      <c r="D11" s="21" t="s">
        <v>58</v>
      </c>
      <c r="E11" s="22">
        <v>0.11199930672759517</v>
      </c>
    </row>
    <row r="12" spans="1:5" x14ac:dyDescent="0.25">
      <c r="D12" s="21" t="s">
        <v>407</v>
      </c>
      <c r="E12" s="22">
        <v>0.21041828453767472</v>
      </c>
    </row>
    <row r="13" spans="1:5" x14ac:dyDescent="0.25">
      <c r="D13" s="21" t="s">
        <v>67</v>
      </c>
      <c r="E13" s="22">
        <v>0.44395005432214163</v>
      </c>
    </row>
    <row r="14" spans="1:5" x14ac:dyDescent="0.25">
      <c r="D14" s="21" t="s">
        <v>300</v>
      </c>
      <c r="E14" s="22">
        <v>1</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F878-97A2-4FE4-AD1B-DB5DC6409168}">
  <dimension ref="A3:P32"/>
  <sheetViews>
    <sheetView tabSelected="1" workbookViewId="0">
      <selection activeCell="M6" sqref="M6"/>
    </sheetView>
  </sheetViews>
  <sheetFormatPr defaultRowHeight="15" x14ac:dyDescent="0.25"/>
  <cols>
    <col min="1" max="12" width="9.140625" style="26"/>
    <col min="13" max="13" width="10" style="26" customWidth="1"/>
    <col min="14" max="16384" width="9.140625" style="26"/>
  </cols>
  <sheetData>
    <row r="3" spans="2:14" ht="21" x14ac:dyDescent="0.35">
      <c r="B3" s="27"/>
      <c r="N3" s="28"/>
    </row>
    <row r="6" spans="2:14" x14ac:dyDescent="0.25">
      <c r="N6" s="29"/>
    </row>
    <row r="21" spans="1:16" x14ac:dyDescent="0.25">
      <c r="A21" s="26" t="s">
        <v>413</v>
      </c>
    </row>
    <row r="23" spans="1:16" ht="21" x14ac:dyDescent="0.25">
      <c r="P23" s="31"/>
    </row>
    <row r="24" spans="1:16" ht="15.75" x14ac:dyDescent="0.25">
      <c r="P24" s="30"/>
    </row>
    <row r="25" spans="1:16" ht="18.75" x14ac:dyDescent="0.25">
      <c r="P25" s="32"/>
    </row>
    <row r="32" spans="1:16" x14ac:dyDescent="0.25">
      <c r="L32" s="26" t="s">
        <v>421</v>
      </c>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Raw Data</vt:lpstr>
      <vt:lpstr>PIVOT TABLES</vt:lpstr>
      <vt:lpstr>PIVOT TABLES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User</cp:lastModifiedBy>
  <cp:lastPrinted>2026-02-19T10:50:23Z</cp:lastPrinted>
  <dcterms:created xsi:type="dcterms:W3CDTF">2025-10-20T20:05:08Z</dcterms:created>
  <dcterms:modified xsi:type="dcterms:W3CDTF">2026-07-29T14:21:35Z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